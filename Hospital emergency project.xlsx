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B60992A5-F80B-4B89-A6B2-27A9EDB01938}" xr6:coauthVersionLast="47" xr6:coauthVersionMax="47" xr10:uidLastSave="{00000000-0000-0000-0000-000000000000}"/>
  <bookViews>
    <workbookView xWindow="-110" yWindow="-110" windowWidth="19420" windowHeight="10300" firstSheet="1" activeTab="1" xr2:uid="{449DE4FE-2194-4688-B298-04A4412FE896}"/>
  </bookViews>
  <sheets>
    <sheet name="pivot report" sheetId="1" r:id="rId1"/>
    <sheet name="Dashboard" sheetId="2" r:id="rId2"/>
    <sheet name="Daily ER No of patients" sheetId="4" r:id="rId3"/>
    <sheet name="Avg wait time of patient" sheetId="6" r:id="rId4"/>
    <sheet name="Satisfaction score daily trend" sheetId="7"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cfcdcef-2c62-4253-bc76-353801cb1209" name="Hospital Emergency Room Data" connection="Query - Hospital Emergency Room Data"/>
          <x15:modelTable id="Calender_Table_e8fbfc20-117b-446a-81f9-aa364741105b"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50" i="1" l="1"/>
  <c r="B50" i="1"/>
  <c r="C49" i="1"/>
  <c r="B49" i="1"/>
  <c r="A50"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841367-398A-42C9-ABAA-9A86ABA22C34}" name="Query - Calender_Table" description="Connection to the 'Calender_Table' query in the workbook." type="100" refreshedVersion="8" minRefreshableVersion="5">
    <extLst>
      <ext xmlns:x15="http://schemas.microsoft.com/office/spreadsheetml/2010/11/main" uri="{DE250136-89BD-433C-8126-D09CA5730AF9}">
        <x15:connection id="bdfc3113-9205-4277-930d-dd5d7ceb3b18"/>
      </ext>
    </extLst>
  </connection>
  <connection id="2" xr16:uid="{183EC2C1-3CCF-4848-895D-50EFCB3B65C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35e2c7c-4a3b-489c-8728-2cfb782b4e70"/>
      </ext>
    </extLst>
  </connection>
  <connection id="3" xr16:uid="{B12AB8E0-D890-4D23-888A-7E94BF50D04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<sst xmlns="http://schemas.openxmlformats.org/spreadsheetml/2006/main" count="154" uniqueCount="74">
  <si>
    <t>Distinct Count of Patient Id</t>
  </si>
  <si>
    <t>No of patient</t>
  </si>
  <si>
    <t>Average of Patient Waittime</t>
  </si>
  <si>
    <t>Average of Patient Satisfaction Score</t>
  </si>
  <si>
    <t>Male</t>
  </si>
  <si>
    <t>None</t>
  </si>
  <si>
    <t>Admitted</t>
  </si>
  <si>
    <t>60-69</t>
  </si>
  <si>
    <t>Ontime</t>
  </si>
  <si>
    <t>10-19</t>
  </si>
  <si>
    <t>Delay</t>
  </si>
  <si>
    <t>70-79</t>
  </si>
  <si>
    <t>40-49</t>
  </si>
  <si>
    <t>50-59</t>
  </si>
  <si>
    <t>0-09</t>
  </si>
  <si>
    <t>20-29</t>
  </si>
  <si>
    <t>30-39</t>
  </si>
  <si>
    <t>Female</t>
  </si>
  <si>
    <t>Not Admitted</t>
  </si>
  <si>
    <t>Row Labels</t>
  </si>
  <si>
    <t>Grand Total</t>
  </si>
  <si>
    <t>2023</t>
  </si>
  <si>
    <t>DAILY TRENDS OF NO OF PATIENTS VISITING HOSPITAL</t>
  </si>
  <si>
    <t>Avg wait time</t>
  </si>
  <si>
    <t>General Practice</t>
  </si>
  <si>
    <t>Orthopedics</t>
  </si>
  <si>
    <t>Neurology</t>
  </si>
  <si>
    <t>Satisfaction score</t>
  </si>
  <si>
    <t>Count of Patient Admission Flag</t>
  </si>
  <si>
    <t>Count of Patient Admission Flag2</t>
  </si>
  <si>
    <t>Admission Status</t>
  </si>
  <si>
    <t>% Status</t>
  </si>
  <si>
    <t xml:space="preserve"> No. of Patient</t>
  </si>
  <si>
    <t>Count of Age Group</t>
  </si>
  <si>
    <t>age grp analysis</t>
  </si>
  <si>
    <t>Count of Patient attend Status</t>
  </si>
  <si>
    <t>attended status</t>
  </si>
  <si>
    <t>Count of Patient Gender</t>
  </si>
  <si>
    <t>Cardiology</t>
  </si>
  <si>
    <t>Gastroenterology</t>
  </si>
  <si>
    <t>Physiotherapy</t>
  </si>
  <si>
    <t>Renal</t>
  </si>
  <si>
    <t>Count of Department Referral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</si>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</sst>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7"/>
      <name val="Calibri"/>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2" fillId="4" borderId="0" xfId="0" applyFont="1" applyFill="1"/>
    <xf numFmtId="0" fontId="0" fillId="4" borderId="0" xfId="0" applyFill="1"/>
    <xf numFmtId="1" fontId="0" fillId="0" borderId="0" xfId="0" applyNumberFormat="1"/>
    <xf numFmtId="10" fontId="0" fillId="0" borderId="0" xfId="0" applyNumberFormat="1"/>
    <xf numFmtId="0" fontId="0" fillId="5" borderId="0" xfId="0" applyFill="1" applyAlignment="1">
      <alignment horizontal="center" vertical="center"/>
    </xf>
    <xf numFmtId="0" fontId="0" fillId="3" borderId="0" xfId="0" applyFill="1" applyAlignment="1">
      <alignment horizontal="center"/>
    </xf>
    <xf numFmtId="0" fontId="0" fillId="5" borderId="0" xfId="0" applyFill="1" applyAlignment="1">
      <alignment horizontal="left"/>
    </xf>
    <xf numFmtId="0" fontId="0" fillId="5" borderId="0" xfId="0" applyFill="1" applyAlignment="1">
      <alignment horizontal="center"/>
    </xf>
    <xf numFmtId="9" fontId="0" fillId="3" borderId="0" xfId="1" applyFont="1" applyFill="1" applyAlignment="1">
      <alignment horizontal="center"/>
    </xf>
    <xf numFmtId="0" fontId="0" fillId="0" borderId="0" xfId="0" applyNumberFormat="1"/>
  </cellXfs>
  <cellStyles count="2">
    <cellStyle name="Normal" xfId="0" builtinId="0"/>
    <cellStyle name="Percent" xfId="1" builtinId="5"/>
  </cellStyles>
  <dxfs count="46">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1" formatCode="0"/>
    </dxf>
    <dxf>
      <numFmt numFmtId="2" formatCode="0.00"/>
    </dxf>
    <dxf>
      <font>
        <b/>
        <color theme="1"/>
      </font>
      <border>
        <bottom style="thin">
          <color theme="6"/>
        </bottom>
        <vertical/>
        <horizontal/>
      </border>
    </dxf>
    <dxf>
      <font>
        <color theme="1"/>
      </font>
      <border diagonalUp="0" diagonalDown="0">
        <left/>
        <right/>
        <top/>
        <bottom/>
        <vertical/>
        <horizontal/>
      </border>
    </dxf>
  </dxfs>
  <tableStyles count="1" defaultTableStyle="TableStyleMedium2" defaultPivotStyle="PivotStyleLight16">
    <tableStyle name="my style" pivot="0" table="0" count="10" xr9:uid="{6A74960A-5CAB-414D-9B1F-1D3A0D9F7763}">
      <tableStyleElement type="wholeTable" dxfId="45"/>
      <tableStyleElement type="headerRow" dxfId="4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strRef>
              <c:f>'pivot report'!$C$50</c:f>
              <c:strCache>
                <c:ptCount val="1"/>
                <c:pt idx="0">
                  <c:v>48%</c:v>
                </c:pt>
              </c:strCache>
            </c:strRef>
          </c:tx>
          <c:spPr>
            <a:noFill/>
            <a:ln>
              <a:noFill/>
            </a:ln>
            <a:effectLst/>
          </c:spPr>
          <c:txPr>
            <a:bodyPr rot="0" spcFirstLastPara="1" vertOverflow="ellipsis" vert="horz" wrap="non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{28C6B53E-120D-49F1-9999-270C30C388D0}</c15:txfldGUID>
                  <c15:f>'pivot report'!$C$50</c15:f>
                  <c15:dlblFieldTableCache>
                    <c:ptCount val="1"/>
                    <c:pt idx="0">
                      <c:v>48%</c:v>
                    </c:pt>
                  </c15:dlblFieldTableCache>
                </c15:dlblFTEntry>
              </c15:dlblFieldTable>
              <c15:showDataLabelsRange val="1"/>
            </c:ext>
          </c:extLst>
        </c:dLbl>
      </c:pivotFmt>
      <c:pivotFmt>
        <c:idx val="3"/>
        <c:spPr>
          <a:solidFill>
            <a:schemeClr val="accent1"/>
          </a:solidFill>
          <a:ln>
            <a:noFill/>
          </a:ln>
          <a:effectLst/>
        </c:spPr>
        <c:dLbl>
          <c:idx val="0"/>
          <c:tx>
            <c:strRef>
              <c:f>'pivot report'!$C$49</c:f>
              <c:strCache>
                <c:ptCount val="1"/>
                <c:pt idx="0">
                  <c:v>52%</c:v>
                </c:pt>
              </c:strCache>
            </c:strRef>
          </c:tx>
          <c:spPr>
            <a:noFill/>
            <a:ln>
              <a:noFill/>
            </a:ln>
            <a:effectLst/>
          </c:spPr>
          <c:txPr>
            <a:bodyPr rot="0" spcFirstLastPara="1" vertOverflow="ellipsis" vert="horz" wrap="non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{7D091B40-EE8E-480C-828E-A51DAA3C115C}</c15:txfldGUID>
                  <c15:f>'pivot report'!$C$49</c15:f>
                  <c15:dlblFieldTableCache>
                    <c:ptCount val="1"/>
                    <c:pt idx="0">
                      <c:v>52%</c:v>
                    </c:pt>
                  </c15:dlblFieldTableCache>
                </c15:dlblFTEntry>
              </c15:dlblFieldTable>
              <c15:showDataLabelsRange val="1"/>
            </c:ext>
          </c:extLst>
        </c:dLbl>
      </c:pivotFmt>
    </c:pivotFmts>
    <c:plotArea>
      <c:layout>
        <c:manualLayout>
          <c:layoutTarget val="inner"/>
          <c:xMode val="edge"/>
          <c:yMode val="edge"/>
          <c:x val="0"/>
          <c:y val="0.12631442830659609"/>
          <c:w val="0.82175561149053966"/>
          <c:h val="0.69074173282033802"/>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D1F-4075-9759-02F20BED2391}"/>
              </c:ext>
            </c:extLst>
          </c:dPt>
          <c:dPt>
            <c:idx val="1"/>
            <c:invertIfNegative val="0"/>
            <c:bubble3D val="0"/>
            <c:extLst>
              <c:ext xmlns:c16="http://schemas.microsoft.com/office/drawing/2014/chart" uri="{C3380CC4-5D6E-409C-BE32-E72D297353CC}">
                <c16:uniqueId val="{00000001-ED1F-4075-9759-02F20BED2391}"/>
              </c:ext>
            </c:extLst>
          </c:dPt>
          <c:dLbls>
            <c:dLbl>
              <c:idx val="0"/>
              <c:tx>
                <c:strRef>
                  <c:f>'pivot report'!$C$50</c:f>
                  <c:strCache>
                    <c:ptCount val="1"/>
                    <c:pt idx="0">
                      <c:v>48%</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{931B1566-3761-4A22-B507-375B03710012}</c15:txfldGUID>
                      <c15:f>'pivot report'!$C$50</c15:f>
                      <c15:dlblFieldTableCache>
                        <c:ptCount val="1"/>
                        <c:pt idx="0">
                          <c:v>48%</c:v>
                        </c:pt>
                      </c15:dlblFieldTableCache>
                    </c15:dlblFTEntry>
                  </c15:dlblFieldTable>
                  <c15:showDataLabelsRange val="1"/>
                </c:ext>
                <c:ext xmlns:c16="http://schemas.microsoft.com/office/drawing/2014/chart" uri="{C3380CC4-5D6E-409C-BE32-E72D297353CC}">
                  <c16:uniqueId val="{00000000-ED1F-4075-9759-02F20BED2391}"/>
                </c:ext>
              </c:extLst>
            </c:dLbl>
            <c:dLbl>
              <c:idx val="1"/>
              <c:tx>
                <c:strRef>
                  <c:f>'pivot report'!$C$49</c:f>
                  <c:strCache>
                    <c:ptCount val="1"/>
                    <c:pt idx="0">
                      <c:v>52%</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{E8F77CE2-B046-4C1A-8B70-CA6E8F4285B6}</c15:txfldGUID>
                      <c15:f>'pivot report'!$C$49</c15:f>
                      <c15:dlblFieldTableCache>
                        <c:ptCount val="1"/>
                        <c:pt idx="0">
                          <c:v>52%</c:v>
                        </c:pt>
                      </c15:dlblFieldTableCache>
                    </c15:dlblFTEntry>
                  </c15:dlblFieldTable>
                  <c15:showDataLabelsRange val="1"/>
                </c:ext>
                <c:ext xmlns:c16="http://schemas.microsoft.com/office/drawing/2014/chart" uri="{C3380CC4-5D6E-409C-BE32-E72D297353CC}">
                  <c16:uniqueId val="{00000001-ED1F-4075-9759-02F20BED2391}"/>
                </c:ext>
              </c:extLst>
            </c:dLbl>
            <c:spPr>
              <a:noFill/>
              <a:ln>
                <a:noFill/>
              </a:ln>
              <a:effectLst/>
            </c:spPr>
            <c:txPr>
              <a:bodyPr rot="0" spcFirstLastPara="1" vertOverflow="ellipsis" vert="horz" wrap="non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report'!$A$42:$A$44</c:f>
              <c:strCache>
                <c:ptCount val="2"/>
                <c:pt idx="0">
                  <c:v>Admitted</c:v>
                </c:pt>
                <c:pt idx="1">
                  <c:v>Not Admitted</c:v>
                </c:pt>
              </c:strCache>
            </c:strRef>
          </c:cat>
          <c:val>
            <c:numRef>
              <c:f>'pivot report'!$B$42:$B$44</c:f>
              <c:numCache>
                <c:formatCode>0</c:formatCode>
                <c:ptCount val="2"/>
                <c:pt idx="0">
                  <c:v>229</c:v>
                </c:pt>
                <c:pt idx="1">
                  <c:v>251</c:v>
                </c:pt>
              </c:numCache>
            </c:numRef>
          </c:val>
          <c:extLst>
            <c:ext xmlns:c16="http://schemas.microsoft.com/office/drawing/2014/chart" uri="{C3380CC4-5D6E-409C-BE32-E72D297353CC}">
              <c16:uniqueId val="{0000000F-6315-4F7B-A3A6-0672E8D50C93}"/>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0.47708333333333336</c:v>
                </c:pt>
                <c:pt idx="1">
                  <c:v>0.5229166666666667</c:v>
                </c:pt>
              </c:numCache>
            </c:numRef>
          </c:val>
          <c:extLst>
            <c:ext xmlns:c16="http://schemas.microsoft.com/office/drawing/2014/chart" uri="{C3380CC4-5D6E-409C-BE32-E72D297353CC}">
              <c16:uniqueId val="{00000010-6315-4F7B-A3A6-0672E8D50C93}"/>
            </c:ext>
          </c:extLst>
        </c:ser>
        <c:dLbls>
          <c:showLegendKey val="0"/>
          <c:showVal val="0"/>
          <c:showCatName val="0"/>
          <c:showSerName val="0"/>
          <c:showPercent val="0"/>
          <c:showBubbleSize val="0"/>
        </c:dLbls>
        <c:gapWidth val="138"/>
        <c:axId val="64597824"/>
        <c:axId val="64599264"/>
      </c:barChart>
      <c:catAx>
        <c:axId val="64597824"/>
        <c:scaling>
          <c:orientation val="minMax"/>
        </c:scaling>
        <c:delete val="1"/>
        <c:axPos val="l"/>
        <c:numFmt formatCode="General" sourceLinked="1"/>
        <c:majorTickMark val="none"/>
        <c:minorTickMark val="none"/>
        <c:tickLblPos val="nextTo"/>
        <c:crossAx val="64599264"/>
        <c:crosses val="autoZero"/>
        <c:auto val="1"/>
        <c:lblAlgn val="ctr"/>
        <c:lblOffset val="100"/>
        <c:noMultiLvlLbl val="0"/>
      </c:catAx>
      <c:valAx>
        <c:axId val="64599264"/>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6459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7-24D8-4B52-9AEF-270384123B94}"/>
            </c:ext>
          </c:extLst>
        </c:ser>
        <c:dLbls>
          <c:showLegendKey val="0"/>
          <c:showVal val="0"/>
          <c:showCatName val="0"/>
          <c:showSerName val="0"/>
          <c:showPercent val="0"/>
          <c:showBubbleSize val="0"/>
        </c:dLbls>
        <c:axId val="205276943"/>
        <c:axId val="205277423"/>
      </c:areaChart>
      <c:catAx>
        <c:axId val="205276943"/>
        <c:scaling>
          <c:orientation val="minMax"/>
        </c:scaling>
        <c:delete val="1"/>
        <c:axPos val="b"/>
        <c:numFmt formatCode="General" sourceLinked="1"/>
        <c:majorTickMark val="out"/>
        <c:minorTickMark val="none"/>
        <c:tickLblPos val="nextTo"/>
        <c:crossAx val="205277423"/>
        <c:crosses val="autoZero"/>
        <c:auto val="1"/>
        <c:lblAlgn val="ctr"/>
        <c:lblOffset val="100"/>
        <c:noMultiLvlLbl val="0"/>
      </c:catAx>
      <c:valAx>
        <c:axId val="205277423"/>
        <c:scaling>
          <c:orientation val="minMax"/>
        </c:scaling>
        <c:delete val="1"/>
        <c:axPos val="l"/>
        <c:numFmt formatCode="General" sourceLinked="1"/>
        <c:majorTickMark val="none"/>
        <c:minorTickMark val="none"/>
        <c:tickLblPos val="nextTo"/>
        <c:crossAx val="20527694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28893134701813E-3"/>
          <c:y val="0"/>
          <c:w val="0.91659341182367149"/>
          <c:h val="1"/>
        </c:manualLayout>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strRef>
              <c:f>'pivot report'!$J$6:$J$37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report'!$K$6:$K$37</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7-2113-4C63-9A61-9BEE83CB3B9C}"/>
            </c:ext>
          </c:extLst>
        </c:ser>
        <c:dLbls>
          <c:showLegendKey val="0"/>
          <c:showVal val="0"/>
          <c:showCatName val="0"/>
          <c:showSerName val="0"/>
          <c:showPercent val="0"/>
          <c:showBubbleSize val="0"/>
        </c:dLbls>
        <c:axId val="56825584"/>
        <c:axId val="56823664"/>
      </c:areaChart>
      <c:catAx>
        <c:axId val="56825584"/>
        <c:scaling>
          <c:orientation val="minMax"/>
        </c:scaling>
        <c:delete val="1"/>
        <c:axPos val="b"/>
        <c:numFmt formatCode="General" sourceLinked="1"/>
        <c:majorTickMark val="out"/>
        <c:minorTickMark val="none"/>
        <c:tickLblPos val="nextTo"/>
        <c:crossAx val="56823664"/>
        <c:crosses val="autoZero"/>
        <c:auto val="1"/>
        <c:lblAlgn val="ctr"/>
        <c:lblOffset val="100"/>
        <c:noMultiLvlLbl val="0"/>
      </c:catAx>
      <c:valAx>
        <c:axId val="56823664"/>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56825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429600721953135E-2"/>
          <c:y val="5.4316353841534819E-2"/>
          <c:w val="0.96935559891707035"/>
          <c:h val="0.91309383385354426"/>
        </c:manualLayout>
      </c:layout>
      <c:areaChart>
        <c:grouping val="standard"/>
        <c:varyColors val="0"/>
        <c:ser>
          <c:idx val="0"/>
          <c:order val="0"/>
          <c:tx>
            <c:strRef>
              <c:f>'pivot report'!$N$7</c:f>
              <c:strCache>
                <c:ptCount val="1"/>
                <c:pt idx="0">
                  <c:v>Total</c:v>
                </c:pt>
              </c:strCache>
            </c:strRef>
          </c:tx>
          <c:spPr>
            <a:solidFill>
              <a:schemeClr val="accent1"/>
            </a:solidFill>
            <a:ln w="9525">
              <a:solidFill>
                <a:schemeClr val="tx1"/>
              </a:solidFill>
            </a:ln>
            <a:effectLst/>
          </c:spPr>
          <c:cat>
            <c:strRef>
              <c:f>'pivot report'!$M$8:$M$38</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report'!$N$8:$N$38</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7-A35D-4150-9314-D7B929E32702}"/>
            </c:ext>
          </c:extLst>
        </c:ser>
        <c:dLbls>
          <c:showLegendKey val="0"/>
          <c:showVal val="0"/>
          <c:showCatName val="0"/>
          <c:showSerName val="0"/>
          <c:showPercent val="0"/>
          <c:showBubbleSize val="0"/>
        </c:dLbls>
        <c:axId val="56824144"/>
        <c:axId val="56825584"/>
      </c:areaChart>
      <c:catAx>
        <c:axId val="56824144"/>
        <c:scaling>
          <c:orientation val="minMax"/>
        </c:scaling>
        <c:delete val="1"/>
        <c:axPos val="b"/>
        <c:numFmt formatCode="General" sourceLinked="1"/>
        <c:majorTickMark val="out"/>
        <c:minorTickMark val="none"/>
        <c:tickLblPos val="nextTo"/>
        <c:crossAx val="56825584"/>
        <c:crosses val="autoZero"/>
        <c:auto val="1"/>
        <c:lblAlgn val="ctr"/>
        <c:lblOffset val="100"/>
        <c:noMultiLvlLbl val="0"/>
      </c:catAx>
      <c:valAx>
        <c:axId val="56825584"/>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56824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report!PivotTable10</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967602691032826E-2"/>
          <c:y val="0.21126772278347719"/>
          <c:w val="0.97082289394517629"/>
          <c:h val="0.53211269386308857"/>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0-09</c:v>
                </c:pt>
                <c:pt idx="1">
                  <c:v>10-19</c:v>
                </c:pt>
                <c:pt idx="2">
                  <c:v>20-29</c:v>
                </c:pt>
                <c:pt idx="3">
                  <c:v>30-39</c:v>
                </c:pt>
                <c:pt idx="4">
                  <c:v>40-49</c:v>
                </c:pt>
                <c:pt idx="5">
                  <c:v>50-59</c:v>
                </c:pt>
                <c:pt idx="6">
                  <c:v>60-69</c:v>
                </c:pt>
                <c:pt idx="7">
                  <c:v>70-79</c:v>
                </c:pt>
              </c:strCache>
            </c:strRef>
          </c:cat>
          <c:val>
            <c:numRef>
              <c:f>'pivot report'!$B$57:$B$65</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7-392B-4301-8921-3B4DBB7A1B16}"/>
            </c:ext>
          </c:extLst>
        </c:ser>
        <c:dLbls>
          <c:showLegendKey val="0"/>
          <c:showVal val="0"/>
          <c:showCatName val="0"/>
          <c:showSerName val="0"/>
          <c:showPercent val="0"/>
          <c:showBubbleSize val="0"/>
        </c:dLbls>
        <c:gapWidth val="219"/>
        <c:overlap val="-27"/>
        <c:axId val="418195776"/>
        <c:axId val="418191936"/>
      </c:barChart>
      <c:catAx>
        <c:axId val="41819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91936"/>
        <c:crosses val="autoZero"/>
        <c:auto val="1"/>
        <c:lblAlgn val="ctr"/>
        <c:lblOffset val="100"/>
        <c:noMultiLvlLbl val="0"/>
      </c:catAx>
      <c:valAx>
        <c:axId val="418191936"/>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41819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report!PivotTable11</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078279162199321"/>
          <c:y val="0.19031780406680129"/>
          <c:w val="0.63064440597150484"/>
          <c:h val="0.77105875877704322"/>
        </c:manualLayout>
      </c:layout>
      <c:pieChart>
        <c:varyColors val="1"/>
        <c:ser>
          <c:idx val="0"/>
          <c:order val="0"/>
          <c:tx>
            <c:strRef>
              <c:f>'pivot report'!$B$68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3C0-44DD-BD7C-51AC0E41031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C0-44DD-BD7C-51AC0E4103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267</c:v>
                </c:pt>
                <c:pt idx="1">
                  <c:v>213</c:v>
                </c:pt>
              </c:numCache>
            </c:numRef>
          </c:val>
          <c:extLst>
            <c:ext xmlns:c16="http://schemas.microsoft.com/office/drawing/2014/chart" uri="{C3380CC4-5D6E-409C-BE32-E72D297353CC}">
              <c16:uniqueId val="{0000000B-8FD0-4844-8414-A96D655FD00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30578738041734876"/>
          <c:y val="3.8461596701388101E-2"/>
          <c:w val="0.38888501375630175"/>
          <c:h val="0.177139357331131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report!PivotTable12</c:name>
    <c:fmtId val="2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marker>
          <c:symbol val="none"/>
        </c:marker>
        <c:dLbl>
          <c:idx val="0"/>
          <c:spPr>
            <a:noFill/>
            <a:ln w="9525">
              <a:solidFill>
                <a:schemeClr val="bg1"/>
              </a:solidFill>
            </a:ln>
            <a:effectLst/>
          </c:spPr>
          <c:txPr>
            <a:bodyPr rot="-480000" spcFirstLastPara="1" vertOverflow="ellipsis" vert="horz" wrap="square" lIns="36576"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1335061969217595"/>
          <c:y val="0.19212074902072912"/>
          <c:w val="0.45383352760663231"/>
          <c:h val="0.68697683094316098"/>
        </c:manualLayout>
      </c:layout>
      <c:doughnutChart>
        <c:varyColors val="1"/>
        <c:ser>
          <c:idx val="0"/>
          <c:order val="0"/>
          <c:tx>
            <c:strRef>
              <c:f>'pivot report'!$B$74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190-497E-AF55-E771990136F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190-497E-AF55-E771990136FE}"/>
              </c:ext>
            </c:extLst>
          </c:dPt>
          <c:dLbls>
            <c:spPr>
              <a:noFill/>
              <a:ln w="9525">
                <a:solidFill>
                  <a:schemeClr val="bg1"/>
                </a:solidFill>
              </a:ln>
              <a:effectLst/>
            </c:spPr>
            <c:txPr>
              <a:bodyPr rot="-480000" spcFirstLastPara="1" vertOverflow="ellipsis" vert="horz" wrap="square" lIns="36576"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 report'!$A$75:$A$77</c:f>
              <c:strCache>
                <c:ptCount val="2"/>
                <c:pt idx="0">
                  <c:v>Female</c:v>
                </c:pt>
                <c:pt idx="1">
                  <c:v>Male</c:v>
                </c:pt>
              </c:strCache>
            </c:strRef>
          </c:cat>
          <c:val>
            <c:numRef>
              <c:f>'pivot report'!$B$75:$B$77</c:f>
              <c:numCache>
                <c:formatCode>0</c:formatCode>
                <c:ptCount val="2"/>
                <c:pt idx="0">
                  <c:v>261</c:v>
                </c:pt>
                <c:pt idx="1">
                  <c:v>219</c:v>
                </c:pt>
              </c:numCache>
            </c:numRef>
          </c:val>
          <c:extLst>
            <c:ext xmlns:c16="http://schemas.microsoft.com/office/drawing/2014/chart" uri="{C3380CC4-5D6E-409C-BE32-E72D297353CC}">
              <c16:uniqueId val="{0000000B-9681-4CFC-9B3B-6E2863CDC544}"/>
            </c:ext>
          </c:extLst>
        </c:ser>
        <c:dLbls>
          <c:showLegendKey val="0"/>
          <c:showVal val="0"/>
          <c:showCatName val="0"/>
          <c:showSerName val="0"/>
          <c:showPercent val="1"/>
          <c:showBubbleSize val="0"/>
          <c:showLeaderLines val="1"/>
        </c:dLbls>
        <c:firstSliceAng val="0"/>
        <c:holeSize val="51"/>
      </c:doughnutChart>
      <c:spPr>
        <a:noFill/>
        <a:ln>
          <a:noFill/>
        </a:ln>
        <a:effectLst/>
      </c:spPr>
    </c:plotArea>
    <c:legend>
      <c:legendPos val="r"/>
      <c:layout>
        <c:manualLayout>
          <c:xMode val="edge"/>
          <c:yMode val="edge"/>
          <c:x val="0.15384399457620668"/>
          <c:y val="1.3467965784852431E-2"/>
          <c:w val="0.54215903093844109"/>
          <c:h val="0.23627928234024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report!PivotTable13</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27893029717658"/>
          <c:y val="6.099983843994114E-2"/>
          <c:w val="0.55621288060354135"/>
          <c:h val="0.87800032312011778"/>
        </c:manualLayout>
      </c:layout>
      <c:barChart>
        <c:barDir val="bar"/>
        <c:grouping val="clustered"/>
        <c:varyColors val="0"/>
        <c:ser>
          <c:idx val="0"/>
          <c:order val="0"/>
          <c:tx>
            <c:strRef>
              <c:f>'pivot report'!$B$80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report'!$A$81:$A$89</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report'!$B$81:$B$89</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7-2E3C-461D-9EC9-F66369A43DCB}"/>
            </c:ext>
          </c:extLst>
        </c:ser>
        <c:dLbls>
          <c:showLegendKey val="0"/>
          <c:showVal val="0"/>
          <c:showCatName val="0"/>
          <c:showSerName val="0"/>
          <c:showPercent val="0"/>
          <c:showBubbleSize val="0"/>
        </c:dLbls>
        <c:gapWidth val="115"/>
        <c:overlap val="-20"/>
        <c:axId val="57538608"/>
        <c:axId val="57535728"/>
      </c:barChart>
      <c:catAx>
        <c:axId val="575386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7535728"/>
        <c:crosses val="autoZero"/>
        <c:auto val="1"/>
        <c:lblAlgn val="ctr"/>
        <c:lblOffset val="100"/>
        <c:noMultiLvlLbl val="0"/>
      </c:catAx>
      <c:valAx>
        <c:axId val="5753572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5753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report!PivotTable6</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6-ADCE-4C49-9B30-FED7714A0D9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05276943"/>
        <c:axId val="205277423"/>
      </c:areaChart>
      <c:catAx>
        <c:axId val="2052769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5277423"/>
        <c:crosses val="autoZero"/>
        <c:auto val="1"/>
        <c:lblAlgn val="ctr"/>
        <c:lblOffset val="100"/>
        <c:noMultiLvlLbl val="0"/>
      </c:catAx>
      <c:valAx>
        <c:axId val="205277423"/>
        <c:scaling>
          <c:orientation val="minMax"/>
        </c:scaling>
        <c:delete val="1"/>
        <c:axPos val="l"/>
        <c:majorGridlines>
          <c:spPr>
            <a:ln w="9525" cap="flat" cmpd="sng" algn="ctr">
              <a:noFill/>
              <a:prstDash val="sysDot"/>
              <a:round/>
            </a:ln>
            <a:effectLst/>
          </c:spPr>
        </c:majorGridlines>
        <c:numFmt formatCode="General" sourceLinked="1"/>
        <c:majorTickMark val="out"/>
        <c:minorTickMark val="none"/>
        <c:tickLblPos val="nextTo"/>
        <c:crossAx val="2052769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18319479119388E-2"/>
          <c:y val="4.2105263157894736E-2"/>
          <c:w val="0.87060037094303222"/>
          <c:h val="0.76692847078325732"/>
        </c:manualLayout>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report'!$K$6:$K$37</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6-5CD3-478D-8CEE-C8E1FCDD3F8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6825584"/>
        <c:axId val="56823664"/>
      </c:areaChart>
      <c:catAx>
        <c:axId val="568255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823664"/>
        <c:crosses val="autoZero"/>
        <c:auto val="1"/>
        <c:lblAlgn val="ctr"/>
        <c:lblOffset val="100"/>
        <c:noMultiLvlLbl val="0"/>
      </c:catAx>
      <c:valAx>
        <c:axId val="56823664"/>
        <c:scaling>
          <c:orientation val="minMax"/>
        </c:scaling>
        <c:delete val="1"/>
        <c:axPos val="l"/>
        <c:numFmt formatCode="0.00" sourceLinked="1"/>
        <c:majorTickMark val="out"/>
        <c:minorTickMark val="none"/>
        <c:tickLblPos val="nextTo"/>
        <c:crossAx val="56825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report!PivotTable8</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report'!$M$8:$M$38</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report'!$N$8:$N$38</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7-2F1D-4C9D-9B57-466E501129B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6824144"/>
        <c:axId val="56825584"/>
      </c:areaChart>
      <c:catAx>
        <c:axId val="568241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56825584"/>
        <c:crosses val="autoZero"/>
        <c:auto val="1"/>
        <c:lblAlgn val="ctr"/>
        <c:lblOffset val="100"/>
        <c:noMultiLvlLbl val="0"/>
      </c:catAx>
      <c:valAx>
        <c:axId val="56825584"/>
        <c:scaling>
          <c:orientation val="minMax"/>
        </c:scaling>
        <c:delete val="1"/>
        <c:axPos val="l"/>
        <c:numFmt formatCode="0.00" sourceLinked="1"/>
        <c:majorTickMark val="out"/>
        <c:minorTickMark val="none"/>
        <c:tickLblPos val="nextTo"/>
        <c:crossAx val="56824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 of patient'!A1"/><Relationship Id="rId19" Type="http://schemas.openxmlformats.org/officeDocument/2006/relationships/image" Target="../media/image9.emf"/><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131031</xdr:colOff>
      <xdr:row>47</xdr:row>
      <xdr:rowOff>110874</xdr:rowOff>
    </xdr:from>
    <xdr:to>
      <xdr:col>3</xdr:col>
      <xdr:colOff>1960536</xdr:colOff>
      <xdr:row>51</xdr:row>
      <xdr:rowOff>10080</xdr:rowOff>
    </xdr:to>
    <xdr:graphicFrame macro="">
      <xdr:nvGraphicFramePr>
        <xdr:cNvPr id="9" name="Chart 8">
          <a:extLst>
            <a:ext uri="{FF2B5EF4-FFF2-40B4-BE49-F238E27FC236}">
              <a16:creationId xmlns:a16="http://schemas.microsoft.com/office/drawing/2014/main" id="{85477D12-C4B0-F93B-EDD1-13A4DCBC4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855296</xdr:colOff>
      <xdr:row>78</xdr:row>
      <xdr:rowOff>2931</xdr:rowOff>
    </xdr:from>
    <xdr:to>
      <xdr:col>4</xdr:col>
      <xdr:colOff>720481</xdr:colOff>
      <xdr:row>91</xdr:row>
      <xdr:rowOff>114056</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3663DB62-6270-4581-8F8B-7F7E6BF3D62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600450" y="1474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40532</xdr:colOff>
      <xdr:row>0</xdr:row>
      <xdr:rowOff>74308</xdr:rowOff>
    </xdr:from>
    <xdr:to>
      <xdr:col>7</xdr:col>
      <xdr:colOff>148617</xdr:colOff>
      <xdr:row>3</xdr:row>
      <xdr:rowOff>0</xdr:rowOff>
    </xdr:to>
    <xdr:sp macro="" textlink="">
      <xdr:nvSpPr>
        <xdr:cNvPr id="2" name="Rectangle: Rounded Corners 1">
          <a:extLst>
            <a:ext uri="{FF2B5EF4-FFF2-40B4-BE49-F238E27FC236}">
              <a16:creationId xmlns:a16="http://schemas.microsoft.com/office/drawing/2014/main" id="{958B3B6F-A6F9-4AD4-9670-3F18E6F94590}"/>
            </a:ext>
          </a:extLst>
        </xdr:cNvPr>
        <xdr:cNvSpPr/>
      </xdr:nvSpPr>
      <xdr:spPr>
        <a:xfrm>
          <a:off x="40532" y="74308"/>
          <a:ext cx="4363936" cy="472873"/>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222926</xdr:colOff>
      <xdr:row>0</xdr:row>
      <xdr:rowOff>67553</xdr:rowOff>
    </xdr:from>
    <xdr:to>
      <xdr:col>10</xdr:col>
      <xdr:colOff>216169</xdr:colOff>
      <xdr:row>3</xdr:row>
      <xdr:rowOff>6755</xdr:rowOff>
    </xdr:to>
    <xdr:sp macro="" textlink="">
      <xdr:nvSpPr>
        <xdr:cNvPr id="3" name="Rectangle: Rounded Corners 2">
          <a:extLst>
            <a:ext uri="{FF2B5EF4-FFF2-40B4-BE49-F238E27FC236}">
              <a16:creationId xmlns:a16="http://schemas.microsoft.com/office/drawing/2014/main" id="{47C94151-BF69-818B-5455-E8242B77298E}"/>
            </a:ext>
          </a:extLst>
        </xdr:cNvPr>
        <xdr:cNvSpPr/>
      </xdr:nvSpPr>
      <xdr:spPr>
        <a:xfrm>
          <a:off x="4478777" y="67553"/>
          <a:ext cx="1817179" cy="486383"/>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351277</xdr:colOff>
      <xdr:row>0</xdr:row>
      <xdr:rowOff>67553</xdr:rowOff>
    </xdr:from>
    <xdr:to>
      <xdr:col>12</xdr:col>
      <xdr:colOff>526914</xdr:colOff>
      <xdr:row>7</xdr:row>
      <xdr:rowOff>121595</xdr:rowOff>
    </xdr:to>
    <xdr:sp macro="" textlink="">
      <xdr:nvSpPr>
        <xdr:cNvPr id="4" name="Rectangle: Rounded Corners 3">
          <a:extLst>
            <a:ext uri="{FF2B5EF4-FFF2-40B4-BE49-F238E27FC236}">
              <a16:creationId xmlns:a16="http://schemas.microsoft.com/office/drawing/2014/main" id="{44A66263-FBD0-ECAD-0802-E97C4EDC468C}"/>
            </a:ext>
          </a:extLst>
        </xdr:cNvPr>
        <xdr:cNvSpPr/>
      </xdr:nvSpPr>
      <xdr:spPr>
        <a:xfrm>
          <a:off x="6431064" y="67553"/>
          <a:ext cx="1391595" cy="1330797"/>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574202</xdr:colOff>
      <xdr:row>0</xdr:row>
      <xdr:rowOff>74309</xdr:rowOff>
    </xdr:from>
    <xdr:to>
      <xdr:col>15</xdr:col>
      <xdr:colOff>189148</xdr:colOff>
      <xdr:row>7</xdr:row>
      <xdr:rowOff>94575</xdr:rowOff>
    </xdr:to>
    <xdr:sp macro="" textlink="">
      <xdr:nvSpPr>
        <xdr:cNvPr id="5" name="Rectangle: Rounded Corners 4">
          <a:extLst>
            <a:ext uri="{FF2B5EF4-FFF2-40B4-BE49-F238E27FC236}">
              <a16:creationId xmlns:a16="http://schemas.microsoft.com/office/drawing/2014/main" id="{735AC620-D6AB-1A7A-B000-8059E0E758DA}"/>
            </a:ext>
          </a:extLst>
        </xdr:cNvPr>
        <xdr:cNvSpPr/>
      </xdr:nvSpPr>
      <xdr:spPr>
        <a:xfrm>
          <a:off x="7889402" y="74309"/>
          <a:ext cx="1443746" cy="1324133"/>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40533</xdr:colOff>
      <xdr:row>3</xdr:row>
      <xdr:rowOff>54042</xdr:rowOff>
    </xdr:from>
    <xdr:to>
      <xdr:col>1</xdr:col>
      <xdr:colOff>243191</xdr:colOff>
      <xdr:row>21</xdr:row>
      <xdr:rowOff>128351</xdr:rowOff>
    </xdr:to>
    <xdr:sp macro="" textlink="">
      <xdr:nvSpPr>
        <xdr:cNvPr id="10" name="Rectangle: Rounded Corners 9">
          <a:extLst>
            <a:ext uri="{FF2B5EF4-FFF2-40B4-BE49-F238E27FC236}">
              <a16:creationId xmlns:a16="http://schemas.microsoft.com/office/drawing/2014/main" id="{C3FE8A24-FA86-FE52-EB15-D44FA5D44BD9}"/>
            </a:ext>
          </a:extLst>
        </xdr:cNvPr>
        <xdr:cNvSpPr/>
      </xdr:nvSpPr>
      <xdr:spPr>
        <a:xfrm>
          <a:off x="40533" y="601223"/>
          <a:ext cx="810637" cy="3357394"/>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290478</xdr:colOff>
      <xdr:row>3</xdr:row>
      <xdr:rowOff>40531</xdr:rowOff>
    </xdr:from>
    <xdr:to>
      <xdr:col>4</xdr:col>
      <xdr:colOff>209413</xdr:colOff>
      <xdr:row>8</xdr:row>
      <xdr:rowOff>162127</xdr:rowOff>
    </xdr:to>
    <xdr:sp macro="" textlink="">
      <xdr:nvSpPr>
        <xdr:cNvPr id="11" name="Rectangle: Rounded Corners 10">
          <a:extLst>
            <a:ext uri="{FF2B5EF4-FFF2-40B4-BE49-F238E27FC236}">
              <a16:creationId xmlns:a16="http://schemas.microsoft.com/office/drawing/2014/main" id="{B42306B7-1DFF-272D-7A6E-71FAEB1DFAE2}"/>
            </a:ext>
          </a:extLst>
        </xdr:cNvPr>
        <xdr:cNvSpPr/>
      </xdr:nvSpPr>
      <xdr:spPr>
        <a:xfrm>
          <a:off x="900078" y="592981"/>
          <a:ext cx="1747735" cy="1042346"/>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324255</xdr:colOff>
      <xdr:row>3</xdr:row>
      <xdr:rowOff>54042</xdr:rowOff>
    </xdr:from>
    <xdr:to>
      <xdr:col>7</xdr:col>
      <xdr:colOff>243190</xdr:colOff>
      <xdr:row>8</xdr:row>
      <xdr:rowOff>171979</xdr:rowOff>
    </xdr:to>
    <xdr:sp macro="" textlink="">
      <xdr:nvSpPr>
        <xdr:cNvPr id="12" name="Rectangle: Rounded Corners 11">
          <a:extLst>
            <a:ext uri="{FF2B5EF4-FFF2-40B4-BE49-F238E27FC236}">
              <a16:creationId xmlns:a16="http://schemas.microsoft.com/office/drawing/2014/main" id="{E7178E3F-CDF7-822A-614F-B6498B1474AE}"/>
            </a:ext>
          </a:extLst>
        </xdr:cNvPr>
        <xdr:cNvSpPr/>
      </xdr:nvSpPr>
      <xdr:spPr>
        <a:xfrm>
          <a:off x="2758422" y="609667"/>
          <a:ext cx="1744560" cy="1043979"/>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324256</xdr:colOff>
      <xdr:row>3</xdr:row>
      <xdr:rowOff>74307</xdr:rowOff>
    </xdr:from>
    <xdr:to>
      <xdr:col>10</xdr:col>
      <xdr:colOff>243191</xdr:colOff>
      <xdr:row>8</xdr:row>
      <xdr:rowOff>162126</xdr:rowOff>
    </xdr:to>
    <xdr:sp macro="" textlink="">
      <xdr:nvSpPr>
        <xdr:cNvPr id="13" name="Rectangle: Rounded Corners 12">
          <a:extLst>
            <a:ext uri="{FF2B5EF4-FFF2-40B4-BE49-F238E27FC236}">
              <a16:creationId xmlns:a16="http://schemas.microsoft.com/office/drawing/2014/main" id="{FBA9580C-09F9-3A10-7C5E-F7BC2BA2BDCA}"/>
            </a:ext>
          </a:extLst>
        </xdr:cNvPr>
        <xdr:cNvSpPr/>
      </xdr:nvSpPr>
      <xdr:spPr>
        <a:xfrm>
          <a:off x="4591456" y="633107"/>
          <a:ext cx="1747735" cy="1019152"/>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lt1"/>
            </a:solidFill>
            <a:effectLst>
              <a:outerShdw blurRad="50800" dist="12700" dir="5400000" algn="ctr" rotWithShape="0">
                <a:srgbClr val="000000"/>
              </a:outerShdw>
            </a:effectLst>
          </a:endParaRPr>
        </a:p>
      </xdr:txBody>
    </xdr:sp>
    <xdr:clientData/>
  </xdr:twoCellAnchor>
  <xdr:twoCellAnchor editAs="absolute">
    <xdr:from>
      <xdr:col>1</xdr:col>
      <xdr:colOff>290477</xdr:colOff>
      <xdr:row>9</xdr:row>
      <xdr:rowOff>54042</xdr:rowOff>
    </xdr:from>
    <xdr:to>
      <xdr:col>10</xdr:col>
      <xdr:colOff>249946</xdr:colOff>
      <xdr:row>13</xdr:row>
      <xdr:rowOff>40532</xdr:rowOff>
    </xdr:to>
    <xdr:sp macro="" textlink="">
      <xdr:nvSpPr>
        <xdr:cNvPr id="16" name="Rectangle: Rounded Corners 15">
          <a:extLst>
            <a:ext uri="{FF2B5EF4-FFF2-40B4-BE49-F238E27FC236}">
              <a16:creationId xmlns:a16="http://schemas.microsoft.com/office/drawing/2014/main" id="{C29C8DC1-AC90-EF8C-D38A-8D2BD52271CA}"/>
            </a:ext>
          </a:extLst>
        </xdr:cNvPr>
        <xdr:cNvSpPr/>
      </xdr:nvSpPr>
      <xdr:spPr>
        <a:xfrm>
          <a:off x="898456" y="1695585"/>
          <a:ext cx="5431277" cy="716064"/>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290478</xdr:colOff>
      <xdr:row>13</xdr:row>
      <xdr:rowOff>94573</xdr:rowOff>
    </xdr:from>
    <xdr:to>
      <xdr:col>10</xdr:col>
      <xdr:colOff>236436</xdr:colOff>
      <xdr:row>21</xdr:row>
      <xdr:rowOff>101329</xdr:rowOff>
    </xdr:to>
    <xdr:sp macro="" textlink="">
      <xdr:nvSpPr>
        <xdr:cNvPr id="17" name="Rectangle: Rounded Corners 16">
          <a:extLst>
            <a:ext uri="{FF2B5EF4-FFF2-40B4-BE49-F238E27FC236}">
              <a16:creationId xmlns:a16="http://schemas.microsoft.com/office/drawing/2014/main" id="{59147EF9-629F-FD49-683E-99672DEB3238}"/>
            </a:ext>
          </a:extLst>
        </xdr:cNvPr>
        <xdr:cNvSpPr/>
      </xdr:nvSpPr>
      <xdr:spPr>
        <a:xfrm>
          <a:off x="900078" y="2488523"/>
          <a:ext cx="5432358" cy="1479956"/>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10</xdr:col>
      <xdr:colOff>358032</xdr:colOff>
      <xdr:row>8</xdr:row>
      <xdr:rowOff>13511</xdr:rowOff>
    </xdr:from>
    <xdr:to>
      <xdr:col>15</xdr:col>
      <xdr:colOff>236436</xdr:colOff>
      <xdr:row>21</xdr:row>
      <xdr:rowOff>94574</xdr:rowOff>
    </xdr:to>
    <xdr:sp macro="" textlink="">
      <xdr:nvSpPr>
        <xdr:cNvPr id="22" name="Rectangle: Rounded Corners 21">
          <a:extLst>
            <a:ext uri="{FF2B5EF4-FFF2-40B4-BE49-F238E27FC236}">
              <a16:creationId xmlns:a16="http://schemas.microsoft.com/office/drawing/2014/main" id="{743CB96E-F65C-0A21-DB28-6B995677FE82}"/>
            </a:ext>
          </a:extLst>
        </xdr:cNvPr>
        <xdr:cNvSpPr/>
      </xdr:nvSpPr>
      <xdr:spPr>
        <a:xfrm>
          <a:off x="6437819" y="1472660"/>
          <a:ext cx="2918298" cy="24521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432340</xdr:colOff>
      <xdr:row>0</xdr:row>
      <xdr:rowOff>67552</xdr:rowOff>
    </xdr:from>
    <xdr:to>
      <xdr:col>7</xdr:col>
      <xdr:colOff>54042</xdr:colOff>
      <xdr:row>2</xdr:row>
      <xdr:rowOff>6755</xdr:rowOff>
    </xdr:to>
    <xdr:sp macro="" textlink="">
      <xdr:nvSpPr>
        <xdr:cNvPr id="23" name="TextBox 22">
          <a:extLst>
            <a:ext uri="{FF2B5EF4-FFF2-40B4-BE49-F238E27FC236}">
              <a16:creationId xmlns:a16="http://schemas.microsoft.com/office/drawing/2014/main" id="{840CAED8-3566-0AE2-9EF7-48E94C5D0644}"/>
            </a:ext>
          </a:extLst>
        </xdr:cNvPr>
        <xdr:cNvSpPr txBox="1"/>
      </xdr:nvSpPr>
      <xdr:spPr>
        <a:xfrm>
          <a:off x="1040319" y="67552"/>
          <a:ext cx="3269574" cy="30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t>Hospital</a:t>
          </a:r>
          <a:r>
            <a:rPr lang="en-IN" sz="1400" b="1"/>
            <a:t> Emergency Room Dashboard</a:t>
          </a:r>
        </a:p>
      </xdr:txBody>
    </xdr:sp>
    <xdr:clientData/>
  </xdr:twoCellAnchor>
  <xdr:twoCellAnchor editAs="oneCell">
    <xdr:from>
      <xdr:col>0</xdr:col>
      <xdr:colOff>236436</xdr:colOff>
      <xdr:row>0</xdr:row>
      <xdr:rowOff>67553</xdr:rowOff>
    </xdr:from>
    <xdr:to>
      <xdr:col>1</xdr:col>
      <xdr:colOff>185225</xdr:colOff>
      <xdr:row>2</xdr:row>
      <xdr:rowOff>175638</xdr:rowOff>
    </xdr:to>
    <xdr:pic>
      <xdr:nvPicPr>
        <xdr:cNvPr id="25" name="Picture 24">
          <a:extLst>
            <a:ext uri="{FF2B5EF4-FFF2-40B4-BE49-F238E27FC236}">
              <a16:creationId xmlns:a16="http://schemas.microsoft.com/office/drawing/2014/main" id="{0A4B9629-8491-357D-0858-A39C594321E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077" t="12196" r="20769" b="12194"/>
        <a:stretch>
          <a:fillRect/>
        </a:stretch>
      </xdr:blipFill>
      <xdr:spPr>
        <a:xfrm>
          <a:off x="236436" y="67553"/>
          <a:ext cx="556768" cy="472872"/>
        </a:xfrm>
        <a:prstGeom prst="rect">
          <a:avLst/>
        </a:prstGeom>
      </xdr:spPr>
    </xdr:pic>
    <xdr:clientData/>
  </xdr:twoCellAnchor>
  <xdr:twoCellAnchor>
    <xdr:from>
      <xdr:col>3</xdr:col>
      <xdr:colOff>155374</xdr:colOff>
      <xdr:row>1</xdr:row>
      <xdr:rowOff>148615</xdr:rowOff>
    </xdr:from>
    <xdr:to>
      <xdr:col>5</xdr:col>
      <xdr:colOff>229682</xdr:colOff>
      <xdr:row>3</xdr:row>
      <xdr:rowOff>148616</xdr:rowOff>
    </xdr:to>
    <xdr:sp macro="" textlink="">
      <xdr:nvSpPr>
        <xdr:cNvPr id="27" name="TextBox 26">
          <a:extLst>
            <a:ext uri="{FF2B5EF4-FFF2-40B4-BE49-F238E27FC236}">
              <a16:creationId xmlns:a16="http://schemas.microsoft.com/office/drawing/2014/main" id="{BCDB3DD4-3CAF-0108-2D03-F0B052F74A26}"/>
            </a:ext>
          </a:extLst>
        </xdr:cNvPr>
        <xdr:cNvSpPr txBox="1"/>
      </xdr:nvSpPr>
      <xdr:spPr>
        <a:xfrm>
          <a:off x="1979310" y="331009"/>
          <a:ext cx="1290266" cy="36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Monthly</a:t>
          </a:r>
          <a:r>
            <a:rPr lang="en-IN" sz="1100" b="1" baseline="0"/>
            <a:t> Report</a:t>
          </a:r>
          <a:endParaRPr lang="en-IN" sz="1050" b="1"/>
        </a:p>
      </xdr:txBody>
    </xdr:sp>
    <xdr:clientData/>
  </xdr:twoCellAnchor>
  <xdr:twoCellAnchor>
    <xdr:from>
      <xdr:col>2</xdr:col>
      <xdr:colOff>290480</xdr:colOff>
      <xdr:row>3</xdr:row>
      <xdr:rowOff>67552</xdr:rowOff>
    </xdr:from>
    <xdr:to>
      <xdr:col>3</xdr:col>
      <xdr:colOff>303991</xdr:colOff>
      <xdr:row>4</xdr:row>
      <xdr:rowOff>175638</xdr:rowOff>
    </xdr:to>
    <xdr:sp macro="" textlink="'pivot report'!A5">
      <xdr:nvSpPr>
        <xdr:cNvPr id="28" name="TextBox 27">
          <a:extLst>
            <a:ext uri="{FF2B5EF4-FFF2-40B4-BE49-F238E27FC236}">
              <a16:creationId xmlns:a16="http://schemas.microsoft.com/office/drawing/2014/main" id="{DBC43FBE-46A3-9CE3-C4C7-6F16AF229892}"/>
            </a:ext>
          </a:extLst>
        </xdr:cNvPr>
        <xdr:cNvSpPr txBox="1"/>
      </xdr:nvSpPr>
      <xdr:spPr>
        <a:xfrm>
          <a:off x="1506437" y="614733"/>
          <a:ext cx="621490" cy="290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2BB47AC-D88B-4C3D-957F-DAAA01ED2AE0}" type="TxLink">
            <a:rPr lang="en-US" sz="2000" b="0" i="0" u="none" strike="noStrike">
              <a:solidFill>
                <a:srgbClr val="000000"/>
              </a:solidFill>
              <a:latin typeface="Calibri"/>
              <a:ea typeface="Calibri"/>
              <a:cs typeface="Calibri"/>
            </a:rPr>
            <a:pPr/>
            <a:t>480</a:t>
          </a:fld>
          <a:endParaRPr lang="en-IN" sz="2800" b="0"/>
        </a:p>
      </xdr:txBody>
    </xdr:sp>
    <xdr:clientData/>
  </xdr:twoCellAnchor>
  <xdr:twoCellAnchor>
    <xdr:from>
      <xdr:col>1</xdr:col>
      <xdr:colOff>553936</xdr:colOff>
      <xdr:row>5</xdr:row>
      <xdr:rowOff>27019</xdr:rowOff>
    </xdr:from>
    <xdr:to>
      <xdr:col>4</xdr:col>
      <xdr:colOff>236436</xdr:colOff>
      <xdr:row>7</xdr:row>
      <xdr:rowOff>27021</xdr:rowOff>
    </xdr:to>
    <xdr:sp macro="" textlink="'pivot report'!A5">
      <xdr:nvSpPr>
        <xdr:cNvPr id="29" name="TextBox 28">
          <a:extLst>
            <a:ext uri="{FF2B5EF4-FFF2-40B4-BE49-F238E27FC236}">
              <a16:creationId xmlns:a16="http://schemas.microsoft.com/office/drawing/2014/main" id="{4AB48F6A-79B6-9FF5-D0E5-E20AD41B3EF8}"/>
            </a:ext>
          </a:extLst>
        </xdr:cNvPr>
        <xdr:cNvSpPr txBox="1"/>
      </xdr:nvSpPr>
      <xdr:spPr>
        <a:xfrm>
          <a:off x="1161915" y="938987"/>
          <a:ext cx="1506436" cy="364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0"/>
            <a:t>No</a:t>
          </a:r>
          <a:r>
            <a:rPr lang="en-IN" sz="1800" b="0" baseline="0"/>
            <a:t> of patient</a:t>
          </a:r>
          <a:endParaRPr lang="en-IN" sz="1800" b="0"/>
        </a:p>
      </xdr:txBody>
    </xdr:sp>
    <xdr:clientData/>
  </xdr:twoCellAnchor>
  <xdr:twoCellAnchor>
    <xdr:from>
      <xdr:col>5</xdr:col>
      <xdr:colOff>310743</xdr:colOff>
      <xdr:row>3</xdr:row>
      <xdr:rowOff>67552</xdr:rowOff>
    </xdr:from>
    <xdr:to>
      <xdr:col>6</xdr:col>
      <xdr:colOff>533670</xdr:colOff>
      <xdr:row>4</xdr:row>
      <xdr:rowOff>175638</xdr:rowOff>
    </xdr:to>
    <xdr:sp macro="" textlink="'pivot report'!A10">
      <xdr:nvSpPr>
        <xdr:cNvPr id="30" name="TextBox 29">
          <a:extLst>
            <a:ext uri="{FF2B5EF4-FFF2-40B4-BE49-F238E27FC236}">
              <a16:creationId xmlns:a16="http://schemas.microsoft.com/office/drawing/2014/main" id="{9F78ED35-E084-023B-77D3-CBC03B4A0336}"/>
            </a:ext>
          </a:extLst>
        </xdr:cNvPr>
        <xdr:cNvSpPr txBox="1"/>
      </xdr:nvSpPr>
      <xdr:spPr>
        <a:xfrm>
          <a:off x="3350637" y="614733"/>
          <a:ext cx="830905" cy="290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9F81F86-1231-4FE8-857F-2A7776E8D9CF}" type="TxLink">
            <a:rPr lang="en-US" sz="2000" b="0" i="0" u="none" strike="noStrike">
              <a:solidFill>
                <a:srgbClr val="000000"/>
              </a:solidFill>
              <a:latin typeface="Calibri"/>
              <a:ea typeface="Calibri"/>
              <a:cs typeface="Calibri"/>
            </a:rPr>
            <a:pPr/>
            <a:t>34.43</a:t>
          </a:fld>
          <a:endParaRPr lang="en-IN" sz="4800" b="0"/>
        </a:p>
      </xdr:txBody>
    </xdr:sp>
    <xdr:clientData/>
  </xdr:twoCellAnchor>
  <xdr:twoCellAnchor>
    <xdr:from>
      <xdr:col>4</xdr:col>
      <xdr:colOff>412073</xdr:colOff>
      <xdr:row>5</xdr:row>
      <xdr:rowOff>20264</xdr:rowOff>
    </xdr:from>
    <xdr:to>
      <xdr:col>8</xdr:col>
      <xdr:colOff>479627</xdr:colOff>
      <xdr:row>7</xdr:row>
      <xdr:rowOff>0</xdr:rowOff>
    </xdr:to>
    <xdr:sp macro="" textlink="'pivot report'!A5">
      <xdr:nvSpPr>
        <xdr:cNvPr id="31" name="TextBox 30">
          <a:extLst>
            <a:ext uri="{FF2B5EF4-FFF2-40B4-BE49-F238E27FC236}">
              <a16:creationId xmlns:a16="http://schemas.microsoft.com/office/drawing/2014/main" id="{FA705D65-F653-6761-396D-4820E01E4AA8}"/>
            </a:ext>
          </a:extLst>
        </xdr:cNvPr>
        <xdr:cNvSpPr txBox="1"/>
      </xdr:nvSpPr>
      <xdr:spPr>
        <a:xfrm>
          <a:off x="2843988" y="932232"/>
          <a:ext cx="2499469" cy="344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0"/>
            <a:t>Average</a:t>
          </a:r>
          <a:r>
            <a:rPr lang="en-IN" sz="1600" b="0" baseline="0"/>
            <a:t> Wait Time</a:t>
          </a:r>
          <a:endParaRPr lang="en-IN" sz="1600" b="0"/>
        </a:p>
      </xdr:txBody>
    </xdr:sp>
    <xdr:clientData/>
  </xdr:twoCellAnchor>
  <xdr:twoCellAnchor>
    <xdr:from>
      <xdr:col>8</xdr:col>
      <xdr:colOff>358031</xdr:colOff>
      <xdr:row>3</xdr:row>
      <xdr:rowOff>74307</xdr:rowOff>
    </xdr:from>
    <xdr:to>
      <xdr:col>9</xdr:col>
      <xdr:colOff>371542</xdr:colOff>
      <xdr:row>4</xdr:row>
      <xdr:rowOff>182393</xdr:rowOff>
    </xdr:to>
    <xdr:sp macro="" textlink="'pivot report'!A14">
      <xdr:nvSpPr>
        <xdr:cNvPr id="32" name="TextBox 31">
          <a:extLst>
            <a:ext uri="{FF2B5EF4-FFF2-40B4-BE49-F238E27FC236}">
              <a16:creationId xmlns:a16="http://schemas.microsoft.com/office/drawing/2014/main" id="{EBFCC711-BE1B-6FB0-5982-91DD69579298}"/>
            </a:ext>
          </a:extLst>
        </xdr:cNvPr>
        <xdr:cNvSpPr txBox="1"/>
      </xdr:nvSpPr>
      <xdr:spPr>
        <a:xfrm>
          <a:off x="5221861" y="621488"/>
          <a:ext cx="621490" cy="290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F18758A-1D29-468A-895E-C4F1AA0182B9}" type="TxLink">
            <a:rPr lang="en-US" sz="2000" b="0" i="0" u="none" strike="noStrike">
              <a:solidFill>
                <a:srgbClr val="000000"/>
              </a:solidFill>
              <a:latin typeface="Calibri"/>
              <a:ea typeface="Calibri"/>
              <a:cs typeface="Calibri"/>
            </a:rPr>
            <a:pPr/>
            <a:t>5.16</a:t>
          </a:fld>
          <a:endParaRPr lang="en-IN" sz="2000" b="0"/>
        </a:p>
      </xdr:txBody>
    </xdr:sp>
    <xdr:clientData/>
  </xdr:twoCellAnchor>
  <xdr:twoCellAnchor>
    <xdr:from>
      <xdr:col>6</xdr:col>
      <xdr:colOff>560692</xdr:colOff>
      <xdr:row>5</xdr:row>
      <xdr:rowOff>33774</xdr:rowOff>
    </xdr:from>
    <xdr:to>
      <xdr:col>11</xdr:col>
      <xdr:colOff>20267</xdr:colOff>
      <xdr:row>8</xdr:row>
      <xdr:rowOff>54042</xdr:rowOff>
    </xdr:to>
    <xdr:sp macro="" textlink="'pivot report'!A5">
      <xdr:nvSpPr>
        <xdr:cNvPr id="33" name="TextBox 32">
          <a:extLst>
            <a:ext uri="{FF2B5EF4-FFF2-40B4-BE49-F238E27FC236}">
              <a16:creationId xmlns:a16="http://schemas.microsoft.com/office/drawing/2014/main" id="{E7E3ADDC-BE37-5EB5-011E-F36C327F1D40}"/>
            </a:ext>
          </a:extLst>
        </xdr:cNvPr>
        <xdr:cNvSpPr txBox="1"/>
      </xdr:nvSpPr>
      <xdr:spPr>
        <a:xfrm>
          <a:off x="4208564" y="945742"/>
          <a:ext cx="2499469" cy="567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t>Patient</a:t>
          </a:r>
          <a:r>
            <a:rPr lang="en-IN" sz="1400" b="0" baseline="0"/>
            <a:t> </a:t>
          </a:r>
          <a:r>
            <a:rPr lang="en-IN" sz="1400" b="0"/>
            <a:t>Satisfaction</a:t>
          </a:r>
        </a:p>
        <a:p>
          <a:pPr algn="ctr"/>
          <a:r>
            <a:rPr lang="en-IN" sz="1400" b="0" baseline="0"/>
            <a:t> Score</a:t>
          </a:r>
          <a:endParaRPr lang="en-IN" sz="1400" b="0"/>
        </a:p>
      </xdr:txBody>
    </xdr:sp>
    <xdr:clientData/>
  </xdr:twoCellAnchor>
  <xdr:twoCellAnchor editAs="oneCell">
    <xdr:from>
      <xdr:col>1</xdr:col>
      <xdr:colOff>297235</xdr:colOff>
      <xdr:row>3</xdr:row>
      <xdr:rowOff>20266</xdr:rowOff>
    </xdr:from>
    <xdr:to>
      <xdr:col>2</xdr:col>
      <xdr:colOff>135109</xdr:colOff>
      <xdr:row>5</xdr:row>
      <xdr:rowOff>101331</xdr:rowOff>
    </xdr:to>
    <xdr:pic>
      <xdr:nvPicPr>
        <xdr:cNvPr id="35" name="Graphic 34" descr="User">
          <a:extLst>
            <a:ext uri="{FF2B5EF4-FFF2-40B4-BE49-F238E27FC236}">
              <a16:creationId xmlns:a16="http://schemas.microsoft.com/office/drawing/2014/main" id="{E48DD375-0634-4325-9B30-E075961D3A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05214" y="567447"/>
          <a:ext cx="445852" cy="445852"/>
        </a:xfrm>
        <a:prstGeom prst="rect">
          <a:avLst/>
        </a:prstGeom>
      </xdr:spPr>
    </xdr:pic>
    <xdr:clientData/>
  </xdr:twoCellAnchor>
  <xdr:twoCellAnchor editAs="oneCell">
    <xdr:from>
      <xdr:col>4</xdr:col>
      <xdr:colOff>412076</xdr:colOff>
      <xdr:row>3</xdr:row>
      <xdr:rowOff>40534</xdr:rowOff>
    </xdr:from>
    <xdr:to>
      <xdr:col>5</xdr:col>
      <xdr:colOff>263457</xdr:colOff>
      <xdr:row>5</xdr:row>
      <xdr:rowOff>58549</xdr:rowOff>
    </xdr:to>
    <xdr:pic>
      <xdr:nvPicPr>
        <xdr:cNvPr id="37" name="Graphic 36" descr="Hourglass">
          <a:extLst>
            <a:ext uri="{FF2B5EF4-FFF2-40B4-BE49-F238E27FC236}">
              <a16:creationId xmlns:a16="http://schemas.microsoft.com/office/drawing/2014/main" id="{2E066C9F-8F9B-2ED0-C1CD-B4F16330AD1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43991" y="587715"/>
          <a:ext cx="459360" cy="382802"/>
        </a:xfrm>
        <a:prstGeom prst="rect">
          <a:avLst/>
        </a:prstGeom>
      </xdr:spPr>
    </xdr:pic>
    <xdr:clientData/>
  </xdr:twoCellAnchor>
  <xdr:twoCellAnchor editAs="oneCell">
    <xdr:from>
      <xdr:col>7</xdr:col>
      <xdr:colOff>393193</xdr:colOff>
      <xdr:row>3</xdr:row>
      <xdr:rowOff>55428</xdr:rowOff>
    </xdr:from>
    <xdr:to>
      <xdr:col>8</xdr:col>
      <xdr:colOff>247311</xdr:colOff>
      <xdr:row>5</xdr:row>
      <xdr:rowOff>128351</xdr:rowOff>
    </xdr:to>
    <xdr:pic>
      <xdr:nvPicPr>
        <xdr:cNvPr id="39" name="Graphic 38" descr="Stars">
          <a:extLst>
            <a:ext uri="{FF2B5EF4-FFF2-40B4-BE49-F238E27FC236}">
              <a16:creationId xmlns:a16="http://schemas.microsoft.com/office/drawing/2014/main" id="{1C3C00CF-2DCD-14EB-4393-A934470B97B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49044" y="602609"/>
          <a:ext cx="462097" cy="437710"/>
        </a:xfrm>
        <a:prstGeom prst="rect">
          <a:avLst/>
        </a:prstGeom>
      </xdr:spPr>
    </xdr:pic>
    <xdr:clientData/>
  </xdr:twoCellAnchor>
  <xdr:twoCellAnchor editAs="oneCell">
    <xdr:from>
      <xdr:col>0</xdr:col>
      <xdr:colOff>68523</xdr:colOff>
      <xdr:row>3</xdr:row>
      <xdr:rowOff>107950</xdr:rowOff>
    </xdr:from>
    <xdr:to>
      <xdr:col>1</xdr:col>
      <xdr:colOff>184150</xdr:colOff>
      <xdr:row>21</xdr:row>
      <xdr:rowOff>82550</xdr:rowOff>
    </xdr:to>
    <mc:AlternateContent xmlns:mc="http://schemas.openxmlformats.org/markup-compatibility/2006" xmlns:a14="http://schemas.microsoft.com/office/drawing/2010/main">
      <mc:Choice Requires="a14">
        <xdr:graphicFrame macro="">
          <xdr:nvGraphicFramePr>
            <xdr:cNvPr id="40" name="Date (Month) 1">
              <a:extLst>
                <a:ext uri="{FF2B5EF4-FFF2-40B4-BE49-F238E27FC236}">
                  <a16:creationId xmlns:a16="http://schemas.microsoft.com/office/drawing/2014/main" id="{E29FD861-BAA4-456A-8EAE-FAABBEDB6A27}"/>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8523" y="656359"/>
              <a:ext cx="726574" cy="3265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158750</xdr:colOff>
      <xdr:row>5</xdr:row>
      <xdr:rowOff>50800</xdr:rowOff>
    </xdr:from>
    <xdr:to>
      <xdr:col>4</xdr:col>
      <xdr:colOff>349250</xdr:colOff>
      <xdr:row>9</xdr:row>
      <xdr:rowOff>114300</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E9A22DB3-FF18-7EDE-9CF4-249F5114B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322228</xdr:colOff>
      <xdr:row>6</xdr:row>
      <xdr:rowOff>50800</xdr:rowOff>
    </xdr:from>
    <xdr:to>
      <xdr:col>7</xdr:col>
      <xdr:colOff>406400</xdr:colOff>
      <xdr:row>8</xdr:row>
      <xdr:rowOff>171450</xdr:rowOff>
    </xdr:to>
    <xdr:graphicFrame macro="">
      <xdr:nvGraphicFramePr>
        <xdr:cNvPr id="43" name="Chart 42">
          <a:hlinkClick xmlns:r="http://schemas.openxmlformats.org/officeDocument/2006/relationships" r:id="rId10"/>
          <a:extLst>
            <a:ext uri="{FF2B5EF4-FFF2-40B4-BE49-F238E27FC236}">
              <a16:creationId xmlns:a16="http://schemas.microsoft.com/office/drawing/2014/main" id="{102883F1-B2C4-472A-A055-0F6EF635B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254000</xdr:colOff>
      <xdr:row>5</xdr:row>
      <xdr:rowOff>50800</xdr:rowOff>
    </xdr:from>
    <xdr:to>
      <xdr:col>10</xdr:col>
      <xdr:colOff>270933</xdr:colOff>
      <xdr:row>9</xdr:row>
      <xdr:rowOff>1</xdr:rowOff>
    </xdr:to>
    <xdr:graphicFrame macro="">
      <xdr:nvGraphicFramePr>
        <xdr:cNvPr id="44" name="Chart 43">
          <a:hlinkClick xmlns:r="http://schemas.openxmlformats.org/officeDocument/2006/relationships" r:id="rId12"/>
          <a:extLst>
            <a:ext uri="{FF2B5EF4-FFF2-40B4-BE49-F238E27FC236}">
              <a16:creationId xmlns:a16="http://schemas.microsoft.com/office/drawing/2014/main" id="{BA401F0E-A819-4A90-B1A9-9FB8702C8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279400</xdr:colOff>
          <xdr:row>9</xdr:row>
          <xdr:rowOff>50800</xdr:rowOff>
        </xdr:from>
        <xdr:to>
          <xdr:col>10</xdr:col>
          <xdr:colOff>262467</xdr:colOff>
          <xdr:row>13</xdr:row>
          <xdr:rowOff>33866</xdr:rowOff>
        </xdr:to>
        <mc:AlternateContent>
          <mc:Choice Requires="a14">
            <xdr:pic>
              <xdr:nvPicPr>
                <xdr:cNvPr id="46" name="Picture 45">
                  <a:extLst>
                    <a:ext uri="{FF2B5EF4-FFF2-40B4-BE49-F238E27FC236}">
                      <a16:creationId xmlns:a16="http://schemas.microsoft.com/office/drawing/2014/main" id="{4BDDEED2-746E-78E8-4549-E676D1E20CC1}"/>
                    </a:ext>
                  </a:extLst>
                </xdr:cNvPr>
                <xdr:cNvPicPr>
                  <a:picLocks noChangeAspect="1" noChangeArrowheads="1"/>
                  <a:extLst>
                    <a:ext uri="{84589F7E-364E-4C9E-8A38-B11213B215E9}">
                      <a14:cameraTool cellRange="'pivot report'!$A$48:$D$50" spid="_x0000_s2065"/>
                    </a:ext>
                  </a:extLst>
                </xdr:cNvPicPr>
              </xdr:nvPicPr>
              <xdr:blipFill>
                <a:blip xmlns:r="http://schemas.openxmlformats.org/officeDocument/2006/relationships" r:embed="rId14"/>
                <a:srcRect/>
                <a:stretch>
                  <a:fillRect/>
                </a:stretch>
              </xdr:blipFill>
              <xdr:spPr bwMode="auto">
                <a:xfrm>
                  <a:off x="889000" y="1727200"/>
                  <a:ext cx="5469467" cy="728133"/>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xdr:twoCellAnchor>
    <xdr:from>
      <xdr:col>1</xdr:col>
      <xdr:colOff>290478</xdr:colOff>
      <xdr:row>13</xdr:row>
      <xdr:rowOff>25400</xdr:rowOff>
    </xdr:from>
    <xdr:to>
      <xdr:col>10</xdr:col>
      <xdr:colOff>228600</xdr:colOff>
      <xdr:row>20</xdr:row>
      <xdr:rowOff>118534</xdr:rowOff>
    </xdr:to>
    <xdr:graphicFrame macro="">
      <xdr:nvGraphicFramePr>
        <xdr:cNvPr id="47" name="Chart 46">
          <a:extLst>
            <a:ext uri="{FF2B5EF4-FFF2-40B4-BE49-F238E27FC236}">
              <a16:creationId xmlns:a16="http://schemas.microsoft.com/office/drawing/2014/main" id="{900744DE-96D2-45C4-9B7A-733A8BC89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42333</xdr:colOff>
      <xdr:row>19</xdr:row>
      <xdr:rowOff>152400</xdr:rowOff>
    </xdr:from>
    <xdr:to>
      <xdr:col>7</xdr:col>
      <xdr:colOff>524933</xdr:colOff>
      <xdr:row>21</xdr:row>
      <xdr:rowOff>152403</xdr:rowOff>
    </xdr:to>
    <xdr:sp macro="" textlink="'pivot report'!A5">
      <xdr:nvSpPr>
        <xdr:cNvPr id="48" name="TextBox 47">
          <a:extLst>
            <a:ext uri="{FF2B5EF4-FFF2-40B4-BE49-F238E27FC236}">
              <a16:creationId xmlns:a16="http://schemas.microsoft.com/office/drawing/2014/main" id="{A2AA4C35-C5AD-4377-8B95-354E07D972E5}"/>
            </a:ext>
          </a:extLst>
        </xdr:cNvPr>
        <xdr:cNvSpPr txBox="1"/>
      </xdr:nvSpPr>
      <xdr:spPr>
        <a:xfrm>
          <a:off x="2480733" y="3691467"/>
          <a:ext cx="2311400" cy="37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a:t>No.</a:t>
          </a:r>
          <a:r>
            <a:rPr lang="en-IN" sz="1600" b="0" baseline="0"/>
            <a:t> of Patient By Age Group</a:t>
          </a:r>
          <a:endParaRPr lang="en-IN" sz="1600" b="0"/>
        </a:p>
      </xdr:txBody>
    </xdr:sp>
    <xdr:clientData/>
  </xdr:twoCellAnchor>
  <xdr:twoCellAnchor>
    <xdr:from>
      <xdr:col>9</xdr:col>
      <xdr:colOff>341820</xdr:colOff>
      <xdr:row>0</xdr:row>
      <xdr:rowOff>0</xdr:rowOff>
    </xdr:from>
    <xdr:to>
      <xdr:col>13</xdr:col>
      <xdr:colOff>558801</xdr:colOff>
      <xdr:row>6</xdr:row>
      <xdr:rowOff>110067</xdr:rowOff>
    </xdr:to>
    <xdr:graphicFrame macro="">
      <xdr:nvGraphicFramePr>
        <xdr:cNvPr id="49" name="Chart 48">
          <a:extLst>
            <a:ext uri="{FF2B5EF4-FFF2-40B4-BE49-F238E27FC236}">
              <a16:creationId xmlns:a16="http://schemas.microsoft.com/office/drawing/2014/main" id="{15212630-BDB2-4D8A-A47C-47A66B14F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418018</xdr:colOff>
      <xdr:row>6</xdr:row>
      <xdr:rowOff>75661</xdr:rowOff>
    </xdr:from>
    <xdr:to>
      <xdr:col>14</xdr:col>
      <xdr:colOff>485572</xdr:colOff>
      <xdr:row>8</xdr:row>
      <xdr:rowOff>55398</xdr:rowOff>
    </xdr:to>
    <xdr:sp macro="" textlink="'pivot report'!A5">
      <xdr:nvSpPr>
        <xdr:cNvPr id="53" name="TextBox 52">
          <a:extLst>
            <a:ext uri="{FF2B5EF4-FFF2-40B4-BE49-F238E27FC236}">
              <a16:creationId xmlns:a16="http://schemas.microsoft.com/office/drawing/2014/main" id="{B7027843-A28A-462A-B956-E6F7FA6F7114}"/>
            </a:ext>
          </a:extLst>
        </xdr:cNvPr>
        <xdr:cNvSpPr txBox="1"/>
      </xdr:nvSpPr>
      <xdr:spPr>
        <a:xfrm>
          <a:off x="6514018" y="1193261"/>
          <a:ext cx="2505954" cy="35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Patient</a:t>
          </a:r>
          <a:r>
            <a:rPr lang="en-IN" sz="1100" b="1" baseline="0"/>
            <a:t> Attend Status</a:t>
          </a:r>
          <a:endParaRPr lang="en-IN" sz="1100" b="1"/>
        </a:p>
      </xdr:txBody>
    </xdr:sp>
    <xdr:clientData/>
  </xdr:twoCellAnchor>
  <xdr:twoCellAnchor>
    <xdr:from>
      <xdr:col>12</xdr:col>
      <xdr:colOff>385414</xdr:colOff>
      <xdr:row>0</xdr:row>
      <xdr:rowOff>0</xdr:rowOff>
    </xdr:from>
    <xdr:to>
      <xdr:col>16</xdr:col>
      <xdr:colOff>48864</xdr:colOff>
      <xdr:row>7</xdr:row>
      <xdr:rowOff>33866</xdr:rowOff>
    </xdr:to>
    <xdr:graphicFrame macro="">
      <xdr:nvGraphicFramePr>
        <xdr:cNvPr id="54" name="Chart 53">
          <a:extLst>
            <a:ext uri="{FF2B5EF4-FFF2-40B4-BE49-F238E27FC236}">
              <a16:creationId xmlns:a16="http://schemas.microsoft.com/office/drawing/2014/main" id="{CA2BD8BA-8C3C-4528-AFE4-2261BFFD3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322238</xdr:colOff>
      <xdr:row>7</xdr:row>
      <xdr:rowOff>169333</xdr:rowOff>
    </xdr:from>
    <xdr:to>
      <xdr:col>15</xdr:col>
      <xdr:colOff>180075</xdr:colOff>
      <xdr:row>20</xdr:row>
      <xdr:rowOff>118532</xdr:rowOff>
    </xdr:to>
    <xdr:graphicFrame macro="">
      <xdr:nvGraphicFramePr>
        <xdr:cNvPr id="59" name="Chart 58">
          <a:extLst>
            <a:ext uri="{FF2B5EF4-FFF2-40B4-BE49-F238E27FC236}">
              <a16:creationId xmlns:a16="http://schemas.microsoft.com/office/drawing/2014/main" id="{48C98134-4DDB-4346-8CA3-74FBFAEA3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508001</xdr:colOff>
      <xdr:row>19</xdr:row>
      <xdr:rowOff>177801</xdr:rowOff>
    </xdr:from>
    <xdr:to>
      <xdr:col>15</xdr:col>
      <xdr:colOff>160867</xdr:colOff>
      <xdr:row>21</xdr:row>
      <xdr:rowOff>76200</xdr:rowOff>
    </xdr:to>
    <xdr:sp macro="" textlink="'pivot report'!A5">
      <xdr:nvSpPr>
        <xdr:cNvPr id="60" name="TextBox 59">
          <a:extLst>
            <a:ext uri="{FF2B5EF4-FFF2-40B4-BE49-F238E27FC236}">
              <a16:creationId xmlns:a16="http://schemas.microsoft.com/office/drawing/2014/main" id="{10462F37-BE3E-4A21-B0C3-6F5FCFA1937D}"/>
            </a:ext>
          </a:extLst>
        </xdr:cNvPr>
        <xdr:cNvSpPr txBox="1"/>
      </xdr:nvSpPr>
      <xdr:spPr>
        <a:xfrm>
          <a:off x="6604001" y="3716868"/>
          <a:ext cx="2700866" cy="270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IN" sz="1300" b="1"/>
            <a:t>No.</a:t>
          </a:r>
          <a:r>
            <a:rPr lang="en-IN" sz="1300" b="1" baseline="0"/>
            <a:t> of Patient By Department Referal</a:t>
          </a:r>
          <a:endParaRPr lang="en-IN" sz="1300" b="1"/>
        </a:p>
      </xdr:txBody>
    </xdr:sp>
    <xdr:clientData/>
  </xdr:twoCellAnchor>
  <xdr:twoCellAnchor editAs="oneCell">
    <xdr:from>
      <xdr:col>7</xdr:col>
      <xdr:colOff>302466</xdr:colOff>
      <xdr:row>0</xdr:row>
      <xdr:rowOff>132291</xdr:rowOff>
    </xdr:from>
    <xdr:to>
      <xdr:col>10</xdr:col>
      <xdr:colOff>132292</xdr:colOff>
      <xdr:row>2</xdr:row>
      <xdr:rowOff>138906</xdr:rowOff>
    </xdr:to>
    <mc:AlternateContent xmlns:mc="http://schemas.openxmlformats.org/markup-compatibility/2006" xmlns:a14="http://schemas.microsoft.com/office/drawing/2010/main">
      <mc:Choice Requires="a14">
        <xdr:graphicFrame macro="">
          <xdr:nvGraphicFramePr>
            <xdr:cNvPr id="61" name="Date (Year) 1">
              <a:extLst>
                <a:ext uri="{FF2B5EF4-FFF2-40B4-BE49-F238E27FC236}">
                  <a16:creationId xmlns:a16="http://schemas.microsoft.com/office/drawing/2014/main" id="{93AC0EF8-6050-4081-B7D7-971365132F03}"/>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564167" y="132291"/>
              <a:ext cx="1656269" cy="373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297656</xdr:colOff>
      <xdr:row>9</xdr:row>
      <xdr:rowOff>19845</xdr:rowOff>
    </xdr:from>
    <xdr:to>
      <xdr:col>10</xdr:col>
      <xdr:colOff>310884</xdr:colOff>
      <xdr:row>13</xdr:row>
      <xdr:rowOff>46302</xdr:rowOff>
    </xdr:to>
    <xdr:pic>
      <xdr:nvPicPr>
        <xdr:cNvPr id="6" name="Picture 5">
          <a:extLst>
            <a:ext uri="{FF2B5EF4-FFF2-40B4-BE49-F238E27FC236}">
              <a16:creationId xmlns:a16="http://schemas.microsoft.com/office/drawing/2014/main" id="{AA192CD9-4FF2-694D-DF9E-55E5B20CB4F5}"/>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06198" y="1686720"/>
          <a:ext cx="5490103" cy="767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66145</xdr:colOff>
      <xdr:row>5</xdr:row>
      <xdr:rowOff>158750</xdr:rowOff>
    </xdr:from>
    <xdr:to>
      <xdr:col>17</xdr:col>
      <xdr:colOff>133699</xdr:colOff>
      <xdr:row>7</xdr:row>
      <xdr:rowOff>138486</xdr:rowOff>
    </xdr:to>
    <xdr:sp macro="" textlink="'pivot report'!A5">
      <xdr:nvSpPr>
        <xdr:cNvPr id="7" name="TextBox 6">
          <a:extLst>
            <a:ext uri="{FF2B5EF4-FFF2-40B4-BE49-F238E27FC236}">
              <a16:creationId xmlns:a16="http://schemas.microsoft.com/office/drawing/2014/main" id="{BA189990-42C6-4E74-850F-73401E02EAC1}"/>
            </a:ext>
          </a:extLst>
        </xdr:cNvPr>
        <xdr:cNvSpPr txBox="1"/>
      </xdr:nvSpPr>
      <xdr:spPr>
        <a:xfrm>
          <a:off x="7977187" y="1084792"/>
          <a:ext cx="2501720" cy="350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100" b="1"/>
            <a:t>Gender</a:t>
          </a:r>
          <a:r>
            <a:rPr lang="en-IN" sz="1100" b="1" baseline="0"/>
            <a:t> Wise Analysis</a:t>
          </a:r>
          <a:endParaRPr lang="en-IN" sz="1100" b="1"/>
        </a:p>
      </xdr:txBody>
    </xdr:sp>
    <xdr:clientData/>
  </xdr:twoCellAnchor>
  <mc:AlternateContent xmlns:mc="http://schemas.openxmlformats.org/markup-compatibility/2006">
    <mc:Choice xmlns:a14="http://schemas.microsoft.com/office/drawing/2010/main" Requires="a14">
      <xdr:twoCellAnchor editAs="oneCell">
        <xdr:from>
          <xdr:col>1</xdr:col>
          <xdr:colOff>279400</xdr:colOff>
          <xdr:row>9</xdr:row>
          <xdr:rowOff>50800</xdr:rowOff>
        </xdr:from>
        <xdr:to>
          <xdr:col>10</xdr:col>
          <xdr:colOff>260350</xdr:colOff>
          <xdr:row>13</xdr:row>
          <xdr:rowOff>31750</xdr:rowOff>
        </xdr:to>
        <xdr:pic>
          <xdr:nvPicPr>
            <xdr:cNvPr id="2063" name="Picture 45">
              <a:extLst>
                <a:ext uri="{FF2B5EF4-FFF2-40B4-BE49-F238E27FC236}">
                  <a16:creationId xmlns:a16="http://schemas.microsoft.com/office/drawing/2014/main" id="{81B1EEA6-8B5F-5862-A5BE-FDC2B971BEB6}"/>
                </a:ext>
              </a:extLst>
            </xdr:cNvPr>
            <xdr:cNvPicPr>
              <a:picLocks noChangeAspect="1" noChangeArrowheads="1"/>
              <a:extLst>
                <a:ext uri="{84589F7E-364E-4C9E-8A38-B11213B215E9}">
                  <a14:cameraTool cellRange="'pivot report'!$A$48:$D$50" spid="_x0000_s2066"/>
                </a:ext>
              </a:extLst>
            </xdr:cNvPicPr>
          </xdr:nvPicPr>
          <xdr:blipFill>
            <a:blip xmlns:r="http://schemas.openxmlformats.org/officeDocument/2006/relationships" r:embed="rId14"/>
            <a:srcRect/>
            <a:stretch>
              <a:fillRect/>
            </a:stretch>
          </xdr:blipFill>
          <xdr:spPr bwMode="auto">
            <a:xfrm>
              <a:off x="889000" y="1708150"/>
              <a:ext cx="5467350" cy="7175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139700</xdr:rowOff>
    </xdr:from>
    <xdr:to>
      <xdr:col>13</xdr:col>
      <xdr:colOff>596900</xdr:colOff>
      <xdr:row>15</xdr:row>
      <xdr:rowOff>82550</xdr:rowOff>
    </xdr:to>
    <xdr:graphicFrame macro="">
      <xdr:nvGraphicFramePr>
        <xdr:cNvPr id="2" name="Chart 1">
          <a:extLst>
            <a:ext uri="{FF2B5EF4-FFF2-40B4-BE49-F238E27FC236}">
              <a16:creationId xmlns:a16="http://schemas.microsoft.com/office/drawing/2014/main" id="{C9E06A8A-9DF4-4E34-B85F-131F6C8F0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0.05573</cdr:x>
      <cdr:y>0.1179</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AAF6F7F-F764-FCB6-5DC5-ABE861B02C5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42900" cy="3429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57150</xdr:colOff>
      <xdr:row>0</xdr:row>
      <xdr:rowOff>177799</xdr:rowOff>
    </xdr:from>
    <xdr:to>
      <xdr:col>14</xdr:col>
      <xdr:colOff>391205</xdr:colOff>
      <xdr:row>18</xdr:row>
      <xdr:rowOff>85044</xdr:rowOff>
    </xdr:to>
    <xdr:graphicFrame macro="">
      <xdr:nvGraphicFramePr>
        <xdr:cNvPr id="2" name="Chart 1">
          <a:extLst>
            <a:ext uri="{FF2B5EF4-FFF2-40B4-BE49-F238E27FC236}">
              <a16:creationId xmlns:a16="http://schemas.microsoft.com/office/drawing/2014/main" id="{39C05544-3000-4680-9ACB-9E6DE3C6B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0.05337</cdr:x>
      <cdr:y>0.10019</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9CAF103-235C-A666-7AA5-AD1B432F43B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75325" cy="317889"/>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22951</xdr:rowOff>
    </xdr:from>
    <xdr:to>
      <xdr:col>12</xdr:col>
      <xdr:colOff>504940</xdr:colOff>
      <xdr:row>18</xdr:row>
      <xdr:rowOff>91807</xdr:rowOff>
    </xdr:to>
    <xdr:graphicFrame macro="">
      <xdr:nvGraphicFramePr>
        <xdr:cNvPr id="3" name="Chart 2">
          <a:extLst>
            <a:ext uri="{FF2B5EF4-FFF2-40B4-BE49-F238E27FC236}">
              <a16:creationId xmlns:a16="http://schemas.microsoft.com/office/drawing/2014/main" id="{2D9F7862-84F7-42F8-863D-DCC884021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0.00647</cdr:x>
      <cdr:y>0.01506</cdr:y>
    </cdr:from>
    <cdr:to>
      <cdr:x>0.0667</cdr:x>
      <cdr:y>0.10994</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3E24915-E4FA-AEA8-03D7-B90B0EE6D52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72772" cy="32013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49074076" createdVersion="5" refreshedVersion="8" minRefreshableVersion="3" recordCount="0" supportSubquery="1" supportAdvancedDrill="1" xr:uid="{1EDD5FF1-05A5-4EE1-94EA-71FB1D9B6EEA}">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52083332" createdVersion="5" refreshedVersion="8" minRefreshableVersion="3" recordCount="0" supportSubquery="1" supportAdvancedDrill="1" xr:uid="{4FDF6C44-A397-4B34-AA39-EA7B8D9092AE}">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5266204" createdVersion="5" refreshedVersion="8" minRefreshableVersion="3" recordCount="0" supportSubquery="1" supportAdvancedDrill="1" xr:uid="{16575C0E-CD15-4428-9213-717F82CEE934}">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57754628" createdVersion="5" refreshedVersion="8" minRefreshableVersion="3" recordCount="0" supportSubquery="1" supportAdvancedDrill="1" xr:uid="{4D10B544-A2DD-4293-840B-8ED162BB407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62962962" createdVersion="5" refreshedVersion="8" minRefreshableVersion="3" recordCount="0" supportSubquery="1" supportAdvancedDrill="1" xr:uid="{E2C62BA0-2DA3-465B-BF15-DEF0A0CA07BA}">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64699071" createdVersion="5" refreshedVersion="8" minRefreshableVersion="3" recordCount="0" supportSubquery="1" supportAdvancedDrill="1" xr:uid="{92B887AF-13BE-4C52-8E06-16308FDA2486}">
  <cacheSource type="external" connectionId="3"/>
  <cacheFields count="4">
    <cacheField name="[Calende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65740741" createdVersion="5" refreshedVersion="8" minRefreshableVersion="3" recordCount="0" supportSubquery="1" supportAdvancedDrill="1" xr:uid="{1C41B817-B64F-438F-9786-7E219C375BE7}">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66666665" createdVersion="5" refreshedVersion="8" minRefreshableVersion="3" recordCount="0" supportSubquery="1" supportAdvancedDrill="1" xr:uid="{F2233C8F-9E95-46C3-8BB9-08476C028B57}">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68634258" createdVersion="5" refreshedVersion="8" minRefreshableVersion="3" recordCount="0" supportSubquery="1" supportAdvancedDrill="1" xr:uid="{F91D9B44-1803-406A-A1B0-C00D142B05A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69560182" createdVersion="5" refreshedVersion="8" minRefreshableVersion="3" recordCount="0" supportSubquery="1" supportAdvancedDrill="1" xr:uid="{A1D6A42C-FC45-44AF-9262-D4735E3E35DC}">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70717591" createdVersion="5" refreshedVersion="8" minRefreshableVersion="3" recordCount="0" supportSubquery="1" supportAdvancedDrill="1" xr:uid="{3BC172BD-1E50-467F-BA96-8CDB3DC26AE4}">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0.66607175926" createdVersion="5" refreshedVersion="8" minRefreshableVersion="3" recordCount="0" supportSubquery="1" supportAdvancedDrill="1" xr:uid="{33E054E7-9A9A-4096-B359-91E620E09842}">
  <cacheSource type="external" connectionId="3"/>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928541435183" createdVersion="3" refreshedVersion="8" minRefreshableVersion="3" recordCount="0" supportSubquery="1" supportAdvancedDrill="1" xr:uid="{B3E7EABB-F17A-4C60-B53E-69AF96EBCAA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120859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F5863B-FE32-4BD8-AF85-8B10D195C645}" name="PivotTable11" cacheId="39" applyNumberFormats="0" applyBorderFormats="0" applyFontFormats="0" applyPatternFormats="0" applyAlignmentFormats="0" applyWidthHeightFormats="1" dataCaption="Values" tag="cd3083fb-241a-4dd5-ae32-1bd9b6283777" updatedVersion="8" minRefreshableVersion="3" subtotalHiddenItems="1" itemPrintTitles="1" createdVersion="5" indent="0" outline="1" outlineData="1" multipleFieldFilters="0" chartFormat="17">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24">
      <pivotArea outline="0" collapsedLevelsAreSubtotals="1" fieldPosition="0"/>
    </format>
    <format dxfId="23">
      <pivotArea grandRow="1" outline="0" collapsedLevelsAreSubtotals="1" fieldPosition="0"/>
    </format>
    <format dxfId="22">
      <pivotArea collapsedLevelsAreSubtotals="1" fieldPosition="0">
        <references count="1">
          <reference field="1" count="0"/>
        </references>
      </pivotArea>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ECBBF9-02D7-4CE4-A490-3BFF867D4BAB}" name="PivotTable3" cacheId="24" applyNumberFormats="0" applyBorderFormats="0" applyFontFormats="0" applyPatternFormats="0" applyAlignmentFormats="0" applyWidthHeightFormats="1" dataCaption="Values" tag="559bccff-352f-48ab-b1ff-65f0e0ff33fd"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5">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388039-B574-490E-AD1A-CA41DC4F17C5}" name="PivotTable6" cacheId="15" applyNumberFormats="0" applyBorderFormats="0" applyFontFormats="0" applyPatternFormats="0" applyAlignmentFormats="0" applyWidthHeightFormats="1" dataCaption="Values" tag="2f2a25d7-b2b2-481f-9375-87b71bc5c632" updatedVersion="8" minRefreshableVersion="3" subtotalHiddenItems="1" itemPrintTitles="1" createdVersion="5" indent="0" outline="1" outlineData="1" multipleFieldFilters="0" chartFormat="13">
  <location ref="D5:E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CB853-FFC4-4910-9555-C2D5AF856208}" name="PivotTable13" cacheId="45" applyNumberFormats="0" applyBorderFormats="0" applyFontFormats="0" applyPatternFormats="0" applyAlignmentFormats="0" applyWidthHeightFormats="1" dataCaption="Values" tag="6962f585-dce1-4967-903c-7bc02d7db2c0" updatedVersion="8" minRefreshableVersion="3" subtotalHiddenItems="1" itemPrintTitles="1" createdVersion="5" indent="0" outline="1" outlineData="1" multipleFieldFilters="0" chartFormat="27">
  <location ref="A80:B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3">
    <format dxfId="28">
      <pivotArea outline="0" collapsedLevelsAreSubtotals="1" fieldPosition="0"/>
    </format>
    <format dxfId="27">
      <pivotArea grandRow="1" outline="0" collapsedLevelsAreSubtotals="1" fieldPosition="0"/>
    </format>
    <format dxfId="26">
      <pivotArea collapsedLevelsAreSubtotals="1" fieldPosition="0">
        <references count="1">
          <reference field="1" count="0"/>
        </references>
      </pivotArea>
    </format>
  </formats>
  <chartFormats count="1">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4699F9-014F-49F7-924C-F9D7CF5425DD}" name="PivotTable10" cacheId="36" applyNumberFormats="0" applyBorderFormats="0" applyFontFormats="0" applyPatternFormats="0" applyAlignmentFormats="0" applyWidthHeightFormats="1" dataCaption="Values" tag="ef0a6933-27ce-42ee-9734-df5bd7b80835" updatedVersion="8" minRefreshableVersion="3" subtotalHiddenItems="1" itemPrintTitles="1" createdVersion="5" indent="0" outline="1" outlineData="1" multipleFieldFilters="0" chartFormat="11">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31">
      <pivotArea outline="0" collapsedLevelsAreSubtotals="1" fieldPosition="0"/>
    </format>
    <format dxfId="30">
      <pivotArea grandRow="1" outline="0" collapsedLevelsAreSubtotals="1" fieldPosition="0"/>
    </format>
    <format dxfId="29">
      <pivotArea collapsedLevelsAreSubtotals="1" fieldPosition="0">
        <references count="1">
          <reference field="1" count="0"/>
        </references>
      </pivotArea>
    </format>
  </formats>
  <chartFormats count="1">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C19C49-A821-40F9-AA09-22FA1BB417BE}" name="PivotTable1" cacheId="18" applyNumberFormats="0" applyBorderFormats="0" applyFontFormats="0" applyPatternFormats="0" applyAlignmentFormats="0" applyWidthHeightFormats="1" dataCaption="Values" tag="5b32747e-6e5f-4884-862f-4b06359b5a12"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A5B361-6E15-4C23-939F-AF0B91867C0F}" name="PivotTable8" cacheId="30" applyNumberFormats="0" applyBorderFormats="0" applyFontFormats="0" applyPatternFormats="0" applyAlignmentFormats="0" applyWidthHeightFormats="1" dataCaption="Values" tag="07b14da9-d40e-4718-92a4-82563ca8e4e2" updatedVersion="8" minRefreshableVersion="3" subtotalHiddenItems="1" itemPrintTitles="1" createdVersion="5" indent="0" outline="1" outlineData="1" multipleFieldFilters="0" chartFormat="25">
  <location ref="M7:N3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32">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4ED031-2B87-41C2-A6BC-167A5B913D4C}" name="PivotTable14" cacheId="48" applyNumberFormats="0" applyBorderFormats="0" applyFontFormats="0" applyPatternFormats="0" applyAlignmentFormats="0" applyWidthHeightFormats="1" dataCaption="Values" tag="caa9d493-4667-4eb6-a096-f0043d6b7275" updatedVersion="8" minRefreshableVersion="3" subtotalHiddenItems="1" itemPrintTitles="1" createdVersion="5" indent="0" outline="1" outlineData="1" multipleFieldFilters="0" chartFormat="27">
  <location ref="A92:A94"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34">
      <pivotArea outline="0" collapsedLevelsAreSubtotals="1" fieldPosition="0"/>
    </format>
    <format dxfId="33">
      <pivotArea grandRow="1"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4027E0-B7F9-4FDA-BB8A-3EEDC6D6FDE3}" name="PivotTable7" cacheId="27" applyNumberFormats="0" applyBorderFormats="0" applyFontFormats="0" applyPatternFormats="0" applyAlignmentFormats="0" applyWidthHeightFormats="1" dataCaption="Values" tag="495f32f1-10ad-4c9e-9c8b-a53089ba2d81" updatedVersion="8" minRefreshableVersion="3" subtotalHiddenItems="1" itemPrintTitles="1" createdVersion="5" indent="0" outline="1" outlineData="1" multipleFieldFilters="0" chartFormat="18">
  <location ref="J5:K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5">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991CF7-83A2-45D7-A7E3-A016D219F14D}" name="PivotTable2" cacheId="21" applyNumberFormats="0" applyBorderFormats="0" applyFontFormats="0" applyPatternFormats="0" applyAlignmentFormats="0" applyWidthHeightFormats="1" dataCaption="Values" tag="2451d371-e2ad-4315-bbc6-8bbc8acbaa51"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6">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A688AE-43DC-409F-8959-741BFA99A77C}" name="PivotTable12" cacheId="42" applyNumberFormats="0" applyBorderFormats="0" applyFontFormats="0" applyPatternFormats="0" applyAlignmentFormats="0" applyWidthHeightFormats="1" dataCaption="Values" tag="23cca3ef-f5ce-40c0-b94d-fc50139e315a" updatedVersion="8" minRefreshableVersion="3" subtotalHiddenItems="1" itemPrintTitles="1" createdVersion="5" indent="0" outline="1" outlineData="1" multipleFieldFilters="0" chartFormat="22">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39">
      <pivotArea outline="0" collapsedLevelsAreSubtotals="1" fieldPosition="0"/>
    </format>
    <format dxfId="38">
      <pivotArea grandRow="1" outline="0" collapsedLevelsAreSubtotals="1" fieldPosition="0"/>
    </format>
    <format dxfId="37">
      <pivotArea collapsedLevelsAreSubtotals="1" fieldPosition="0">
        <references count="1">
          <reference field="1" count="0"/>
        </references>
      </pivotArea>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CAB240-3611-416A-8E0F-D3C34E86090F}" name="PivotTable9" cacheId="33" applyNumberFormats="0" applyBorderFormats="0" applyFontFormats="0" applyPatternFormats="0" applyAlignmentFormats="0" applyWidthHeightFormats="1" dataCaption="Values" tag="715f6495-821c-4ee2-917f-06d4688c9cd3" updatedVersion="8" minRefreshableVersion="3" subtotalHiddenItems="1" itemPrintTitles="1" createdVersion="5" indent="0" outline="1" outlineData="1" multipleFieldFilters="0" chartFormat="10">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43">
      <pivotArea outline="0" collapsedLevelsAreSubtotals="1" fieldPosition="0"/>
    </format>
    <format dxfId="42">
      <pivotArea collapsedLevelsAreSubtotals="1" fieldPosition="0">
        <references count="1">
          <reference field="2" count="0"/>
        </references>
      </pivotArea>
    </format>
    <format dxfId="41">
      <pivotArea grandRow="1" outline="0" collapsedLevelsAreSubtotals="1" fieldPosition="0"/>
    </format>
    <format dxfId="4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A2B6910-F873-4289-9278-E5993E5F4EE4}" sourceName="[Calender_Table].[Date (Month)]">
  <pivotTables>
    <pivotTable tabId="1" name="PivotTable6"/>
    <pivotTable tabId="1" name="PivotTable1"/>
    <pivotTable tabId="1" name="PivotTable2"/>
    <pivotTable tabId="1" name="PivotTable3"/>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s>
  <data>
    <olap pivotCacheId="812085992">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6018FCB-7AF4-4C23-A090-257599F619D3}" sourceName="[Calende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6"/>
    <pivotTable tabId="1" name="PivotTable7"/>
    <pivotTable tabId="1" name="PivotTable8"/>
    <pivotTable tabId="1" name="PivotTable9"/>
  </pivotTables>
  <data>
    <olap pivotCacheId="81208599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FFFCD80B-2D94-47D2-9B6D-FBF18ED15240}"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D817DB0-B0E2-47C7-8F70-A2526F3E77A2}" cache="Slicer_Date__Month" caption="Date (Month)" showCaption="0" level="1" style="my style" rowHeight="228600"/>
  <slicer name="Date (Year) 1" xr10:uid="{DACE503E-72A8-4D9C-B937-6DB993C8CC7C}" cache="Slicer_Date__Year" caption="Date (Year)" columnCount="2" showCaption="0"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580E-A60A-4B3A-A885-89DE50CA9E41}">
  <dimension ref="A3:N94"/>
  <sheetViews>
    <sheetView topLeftCell="A42" zoomScale="90" zoomScaleNormal="100" workbookViewId="0">
      <selection activeCell="E50" sqref="E50"/>
    </sheetView>
  </sheetViews>
  <sheetFormatPr defaultRowHeight="14.5" x14ac:dyDescent="0.35"/>
  <cols>
    <col min="1" max="1" width="15.7265625" customWidth="1"/>
    <col min="2" max="2" width="12.453125" customWidth="1"/>
    <col min="3" max="3" width="11.1796875" customWidth="1"/>
    <col min="4" max="4" width="28.08984375" customWidth="1"/>
    <col min="5" max="5" width="24.36328125" bestFit="1" customWidth="1"/>
    <col min="11" max="11" width="24.36328125" bestFit="1" customWidth="1"/>
    <col min="14" max="14" width="25.7265625" bestFit="1" customWidth="1"/>
  </cols>
  <sheetData>
    <row r="3" spans="1:14" x14ac:dyDescent="0.35">
      <c r="A3" t="s">
        <v>1</v>
      </c>
    </row>
    <row r="4" spans="1:14" x14ac:dyDescent="0.35">
      <c r="A4" t="s">
        <v>0</v>
      </c>
      <c r="D4" t="s">
        <v>22</v>
      </c>
      <c r="J4" t="s">
        <v>23</v>
      </c>
    </row>
    <row r="5" spans="1:14" x14ac:dyDescent="0.35">
      <c r="A5" s="14">
        <v>480</v>
      </c>
      <c r="D5" s="1" t="s">
        <v>19</v>
      </c>
      <c r="E5" t="s">
        <v>0</v>
      </c>
      <c r="J5" s="1" t="s">
        <v>19</v>
      </c>
      <c r="K5" t="s">
        <v>2</v>
      </c>
    </row>
    <row r="6" spans="1:14" x14ac:dyDescent="0.35">
      <c r="D6" s="4" t="s">
        <v>43</v>
      </c>
      <c r="E6" s="14">
        <v>20</v>
      </c>
      <c r="J6" s="4" t="s">
        <v>43</v>
      </c>
      <c r="K6" s="2">
        <v>31.5</v>
      </c>
      <c r="M6" t="s">
        <v>27</v>
      </c>
    </row>
    <row r="7" spans="1:14" x14ac:dyDescent="0.35">
      <c r="D7" s="4" t="s">
        <v>44</v>
      </c>
      <c r="E7" s="14">
        <v>16</v>
      </c>
      <c r="J7" s="4" t="s">
        <v>44</v>
      </c>
      <c r="K7" s="2">
        <v>34.25</v>
      </c>
      <c r="M7" s="1" t="s">
        <v>19</v>
      </c>
      <c r="N7" t="s">
        <v>3</v>
      </c>
    </row>
    <row r="8" spans="1:14" x14ac:dyDescent="0.35">
      <c r="D8" s="4" t="s">
        <v>45</v>
      </c>
      <c r="E8" s="14">
        <v>20</v>
      </c>
      <c r="J8" s="4" t="s">
        <v>45</v>
      </c>
      <c r="K8" s="2">
        <v>41.1</v>
      </c>
      <c r="M8" s="4" t="s">
        <v>43</v>
      </c>
      <c r="N8" s="2">
        <v>5.5</v>
      </c>
    </row>
    <row r="9" spans="1:14" x14ac:dyDescent="0.35">
      <c r="A9" t="s">
        <v>2</v>
      </c>
      <c r="D9" s="4" t="s">
        <v>46</v>
      </c>
      <c r="E9" s="14">
        <v>16</v>
      </c>
      <c r="J9" s="4" t="s">
        <v>46</v>
      </c>
      <c r="K9" s="2">
        <v>31</v>
      </c>
      <c r="M9" s="4" t="s">
        <v>44</v>
      </c>
      <c r="N9" s="2">
        <v>3.3333333333333335</v>
      </c>
    </row>
    <row r="10" spans="1:14" x14ac:dyDescent="0.35">
      <c r="A10" s="2">
        <v>34.429166666666667</v>
      </c>
      <c r="D10" s="4" t="s">
        <v>47</v>
      </c>
      <c r="E10" s="14">
        <v>18</v>
      </c>
      <c r="J10" s="4" t="s">
        <v>47</v>
      </c>
      <c r="K10" s="2">
        <v>33.666666666666664</v>
      </c>
      <c r="M10" s="4" t="s">
        <v>45</v>
      </c>
      <c r="N10" s="2">
        <v>6</v>
      </c>
    </row>
    <row r="11" spans="1:14" x14ac:dyDescent="0.35">
      <c r="D11" s="4" t="s">
        <v>48</v>
      </c>
      <c r="E11" s="14">
        <v>16</v>
      </c>
      <c r="J11" s="4" t="s">
        <v>48</v>
      </c>
      <c r="K11" s="2">
        <v>34.5625</v>
      </c>
      <c r="M11" s="4" t="s">
        <v>46</v>
      </c>
      <c r="N11" s="2">
        <v>4.8</v>
      </c>
    </row>
    <row r="12" spans="1:14" x14ac:dyDescent="0.35">
      <c r="D12" s="4" t="s">
        <v>49</v>
      </c>
      <c r="E12" s="14">
        <v>15</v>
      </c>
      <c r="J12" s="4" t="s">
        <v>49</v>
      </c>
      <c r="K12" s="2">
        <v>34.93333333333333</v>
      </c>
      <c r="M12" s="4" t="s">
        <v>47</v>
      </c>
      <c r="N12" s="2">
        <v>5.5</v>
      </c>
    </row>
    <row r="13" spans="1:14" x14ac:dyDescent="0.35">
      <c r="A13" t="s">
        <v>3</v>
      </c>
      <c r="D13" s="4" t="s">
        <v>50</v>
      </c>
      <c r="E13" s="14">
        <v>20</v>
      </c>
      <c r="J13" s="4" t="s">
        <v>50</v>
      </c>
      <c r="K13" s="2">
        <v>36.4</v>
      </c>
      <c r="M13" s="4" t="s">
        <v>48</v>
      </c>
      <c r="N13" s="2">
        <v>5.25</v>
      </c>
    </row>
    <row r="14" spans="1:14" x14ac:dyDescent="0.35">
      <c r="A14" s="2">
        <v>5.1640625</v>
      </c>
      <c r="D14" s="4" t="s">
        <v>51</v>
      </c>
      <c r="E14" s="14">
        <v>20</v>
      </c>
      <c r="J14" s="4" t="s">
        <v>51</v>
      </c>
      <c r="K14" s="2">
        <v>35.549999999999997</v>
      </c>
      <c r="M14" s="4" t="s">
        <v>49</v>
      </c>
      <c r="N14" s="2">
        <v>4.8</v>
      </c>
    </row>
    <row r="15" spans="1:14" x14ac:dyDescent="0.35">
      <c r="D15" s="4" t="s">
        <v>52</v>
      </c>
      <c r="E15" s="14">
        <v>13</v>
      </c>
      <c r="J15" s="4" t="s">
        <v>52</v>
      </c>
      <c r="K15" s="2">
        <v>30.692307692307693</v>
      </c>
      <c r="M15" s="4" t="s">
        <v>50</v>
      </c>
      <c r="N15" s="2">
        <v>4.5</v>
      </c>
    </row>
    <row r="16" spans="1:14" x14ac:dyDescent="0.35">
      <c r="D16" s="4" t="s">
        <v>53</v>
      </c>
      <c r="E16" s="14">
        <v>18</v>
      </c>
      <c r="J16" s="4" t="s">
        <v>53</v>
      </c>
      <c r="K16" s="2">
        <v>33.611111111111114</v>
      </c>
      <c r="M16" s="4" t="s">
        <v>51</v>
      </c>
      <c r="N16" s="2">
        <v>5</v>
      </c>
    </row>
    <row r="17" spans="4:14" x14ac:dyDescent="0.35">
      <c r="D17" s="4" t="s">
        <v>54</v>
      </c>
      <c r="E17" s="14">
        <v>11</v>
      </c>
      <c r="J17" s="4" t="s">
        <v>54</v>
      </c>
      <c r="K17" s="2">
        <v>37.81818181818182</v>
      </c>
      <c r="M17" s="4" t="s">
        <v>52</v>
      </c>
      <c r="N17" s="2">
        <v>5.333333333333333</v>
      </c>
    </row>
    <row r="18" spans="4:14" x14ac:dyDescent="0.35">
      <c r="D18" s="4" t="s">
        <v>55</v>
      </c>
      <c r="E18" s="14">
        <v>13</v>
      </c>
      <c r="J18" s="4" t="s">
        <v>55</v>
      </c>
      <c r="K18" s="2">
        <v>40</v>
      </c>
      <c r="M18" s="4" t="s">
        <v>53</v>
      </c>
      <c r="N18" s="2">
        <v>4.4000000000000004</v>
      </c>
    </row>
    <row r="19" spans="4:14" x14ac:dyDescent="0.35">
      <c r="D19" s="4" t="s">
        <v>56</v>
      </c>
      <c r="E19" s="14">
        <v>14</v>
      </c>
      <c r="J19" s="4" t="s">
        <v>56</v>
      </c>
      <c r="K19" s="2">
        <v>32</v>
      </c>
      <c r="M19" s="4" t="s">
        <v>54</v>
      </c>
      <c r="N19" s="2">
        <v>3.25</v>
      </c>
    </row>
    <row r="20" spans="4:14" x14ac:dyDescent="0.35">
      <c r="D20" s="4" t="s">
        <v>57</v>
      </c>
      <c r="E20" s="14">
        <v>7</v>
      </c>
      <c r="J20" s="4" t="s">
        <v>57</v>
      </c>
      <c r="K20" s="2">
        <v>31.857142857142858</v>
      </c>
      <c r="M20" s="4" t="s">
        <v>55</v>
      </c>
      <c r="N20" s="2">
        <v>6</v>
      </c>
    </row>
    <row r="21" spans="4:14" x14ac:dyDescent="0.35">
      <c r="D21" s="4" t="s">
        <v>58</v>
      </c>
      <c r="E21" s="14">
        <v>21</v>
      </c>
      <c r="J21" s="4" t="s">
        <v>58</v>
      </c>
      <c r="K21" s="2">
        <v>31.142857142857142</v>
      </c>
      <c r="M21" s="4" t="s">
        <v>56</v>
      </c>
      <c r="N21" s="2">
        <v>3.3333333333333335</v>
      </c>
    </row>
    <row r="22" spans="4:14" x14ac:dyDescent="0.35">
      <c r="D22" s="4" t="s">
        <v>59</v>
      </c>
      <c r="E22" s="14">
        <v>16</v>
      </c>
      <c r="J22" s="4" t="s">
        <v>59</v>
      </c>
      <c r="K22" s="2">
        <v>29.5</v>
      </c>
      <c r="M22" s="4" t="s">
        <v>58</v>
      </c>
      <c r="N22" s="2">
        <v>6.7</v>
      </c>
    </row>
    <row r="23" spans="4:14" x14ac:dyDescent="0.35">
      <c r="D23" s="4" t="s">
        <v>60</v>
      </c>
      <c r="E23" s="14">
        <v>15</v>
      </c>
      <c r="J23" s="4" t="s">
        <v>60</v>
      </c>
      <c r="K23" s="2">
        <v>30.666666666666668</v>
      </c>
      <c r="M23" s="4" t="s">
        <v>59</v>
      </c>
      <c r="N23" s="2">
        <v>7.75</v>
      </c>
    </row>
    <row r="24" spans="4:14" x14ac:dyDescent="0.35">
      <c r="D24" s="4" t="s">
        <v>61</v>
      </c>
      <c r="E24" s="14">
        <v>15</v>
      </c>
      <c r="J24" s="4" t="s">
        <v>61</v>
      </c>
      <c r="K24" s="2">
        <v>39.06666666666667</v>
      </c>
      <c r="M24" s="4" t="s">
        <v>60</v>
      </c>
      <c r="N24" s="2">
        <v>5.5</v>
      </c>
    </row>
    <row r="25" spans="4:14" x14ac:dyDescent="0.35">
      <c r="D25" s="4" t="s">
        <v>62</v>
      </c>
      <c r="E25" s="14">
        <v>14</v>
      </c>
      <c r="J25" s="4" t="s">
        <v>62</v>
      </c>
      <c r="K25" s="2">
        <v>32.857142857142854</v>
      </c>
      <c r="M25" s="4" t="s">
        <v>61</v>
      </c>
      <c r="N25" s="2">
        <v>4.5</v>
      </c>
    </row>
    <row r="26" spans="4:14" x14ac:dyDescent="0.35">
      <c r="D26" s="4" t="s">
        <v>63</v>
      </c>
      <c r="E26" s="14">
        <v>16</v>
      </c>
      <c r="J26" s="4" t="s">
        <v>63</v>
      </c>
      <c r="K26" s="2">
        <v>38.3125</v>
      </c>
      <c r="M26" s="4" t="s">
        <v>62</v>
      </c>
      <c r="N26" s="2">
        <v>6</v>
      </c>
    </row>
    <row r="27" spans="4:14" x14ac:dyDescent="0.35">
      <c r="D27" s="4" t="s">
        <v>64</v>
      </c>
      <c r="E27" s="14">
        <v>21</v>
      </c>
      <c r="J27" s="4" t="s">
        <v>64</v>
      </c>
      <c r="K27" s="2">
        <v>35.80952380952381</v>
      </c>
      <c r="M27" s="4" t="s">
        <v>63</v>
      </c>
      <c r="N27" s="2">
        <v>5.75</v>
      </c>
    </row>
    <row r="28" spans="4:14" x14ac:dyDescent="0.35">
      <c r="D28" s="4" t="s">
        <v>65</v>
      </c>
      <c r="E28" s="14">
        <v>13</v>
      </c>
      <c r="J28" s="4" t="s">
        <v>65</v>
      </c>
      <c r="K28" s="2">
        <v>33.153846153846153</v>
      </c>
      <c r="M28" s="4" t="s">
        <v>64</v>
      </c>
      <c r="N28" s="2">
        <v>3.1428571428571428</v>
      </c>
    </row>
    <row r="29" spans="4:14" x14ac:dyDescent="0.35">
      <c r="D29" s="4" t="s">
        <v>66</v>
      </c>
      <c r="E29" s="14">
        <v>11</v>
      </c>
      <c r="J29" s="4" t="s">
        <v>66</v>
      </c>
      <c r="K29" s="2">
        <v>39.18181818181818</v>
      </c>
      <c r="M29" s="4" t="s">
        <v>65</v>
      </c>
      <c r="N29" s="2">
        <v>4</v>
      </c>
    </row>
    <row r="30" spans="4:14" x14ac:dyDescent="0.35">
      <c r="D30" s="4" t="s">
        <v>67</v>
      </c>
      <c r="E30" s="14">
        <v>16</v>
      </c>
      <c r="J30" s="4" t="s">
        <v>67</v>
      </c>
      <c r="K30" s="2">
        <v>36.3125</v>
      </c>
      <c r="M30" s="4" t="s">
        <v>66</v>
      </c>
      <c r="N30" s="2">
        <v>6.5</v>
      </c>
    </row>
    <row r="31" spans="4:14" x14ac:dyDescent="0.35">
      <c r="D31" s="4" t="s">
        <v>68</v>
      </c>
      <c r="E31" s="14">
        <v>11</v>
      </c>
      <c r="J31" s="4" t="s">
        <v>68</v>
      </c>
      <c r="K31" s="2">
        <v>33</v>
      </c>
      <c r="M31" s="4" t="s">
        <v>67</v>
      </c>
      <c r="N31" s="2">
        <v>4</v>
      </c>
    </row>
    <row r="32" spans="4:14" x14ac:dyDescent="0.35">
      <c r="D32" s="4" t="s">
        <v>69</v>
      </c>
      <c r="E32" s="14">
        <v>14</v>
      </c>
      <c r="J32" s="4" t="s">
        <v>69</v>
      </c>
      <c r="K32" s="2">
        <v>32.857142857142854</v>
      </c>
      <c r="M32" s="4" t="s">
        <v>68</v>
      </c>
      <c r="N32" s="2">
        <v>7.333333333333333</v>
      </c>
    </row>
    <row r="33" spans="1:14" x14ac:dyDescent="0.35">
      <c r="D33" s="4" t="s">
        <v>70</v>
      </c>
      <c r="E33" s="14">
        <v>10</v>
      </c>
      <c r="J33" s="4" t="s">
        <v>70</v>
      </c>
      <c r="K33" s="2">
        <v>36.799999999999997</v>
      </c>
      <c r="M33" s="4" t="s">
        <v>69</v>
      </c>
      <c r="N33" s="2">
        <v>5.333333333333333</v>
      </c>
    </row>
    <row r="34" spans="1:14" x14ac:dyDescent="0.35">
      <c r="D34" s="4" t="s">
        <v>71</v>
      </c>
      <c r="E34" s="14">
        <v>15</v>
      </c>
      <c r="J34" s="4" t="s">
        <v>71</v>
      </c>
      <c r="K34" s="2">
        <v>32.866666666666667</v>
      </c>
      <c r="M34" s="4" t="s">
        <v>70</v>
      </c>
      <c r="N34" s="2">
        <v>4.75</v>
      </c>
    </row>
    <row r="35" spans="1:14" x14ac:dyDescent="0.35">
      <c r="D35" s="4" t="s">
        <v>72</v>
      </c>
      <c r="E35" s="14">
        <v>24</v>
      </c>
      <c r="J35" s="4" t="s">
        <v>72</v>
      </c>
      <c r="K35" s="2">
        <v>32.375</v>
      </c>
      <c r="M35" s="4" t="s">
        <v>71</v>
      </c>
      <c r="N35" s="2">
        <v>4</v>
      </c>
    </row>
    <row r="36" spans="1:14" x14ac:dyDescent="0.35">
      <c r="D36" s="4" t="s">
        <v>73</v>
      </c>
      <c r="E36" s="14">
        <v>11</v>
      </c>
      <c r="J36" s="4" t="s">
        <v>73</v>
      </c>
      <c r="K36" s="2">
        <v>36</v>
      </c>
      <c r="M36" s="4" t="s">
        <v>72</v>
      </c>
      <c r="N36" s="2">
        <v>4</v>
      </c>
    </row>
    <row r="37" spans="1:14" x14ac:dyDescent="0.35">
      <c r="D37" s="4" t="s">
        <v>20</v>
      </c>
      <c r="E37" s="14">
        <v>480</v>
      </c>
      <c r="J37" s="4" t="s">
        <v>20</v>
      </c>
      <c r="K37" s="2">
        <v>34.429166666666667</v>
      </c>
      <c r="M37" s="4" t="s">
        <v>73</v>
      </c>
      <c r="N37" s="2">
        <v>8.3333333333333339</v>
      </c>
    </row>
    <row r="38" spans="1:14" x14ac:dyDescent="0.35">
      <c r="M38" s="4" t="s">
        <v>20</v>
      </c>
      <c r="N38" s="2">
        <v>5.1640625</v>
      </c>
    </row>
    <row r="41" spans="1:14" x14ac:dyDescent="0.35">
      <c r="A41" s="1" t="s">
        <v>19</v>
      </c>
      <c r="B41" t="s">
        <v>28</v>
      </c>
      <c r="C41" t="s">
        <v>29</v>
      </c>
    </row>
    <row r="42" spans="1:14" x14ac:dyDescent="0.35">
      <c r="A42" s="4" t="s">
        <v>6</v>
      </c>
      <c r="B42" s="7">
        <v>229</v>
      </c>
      <c r="C42" s="8">
        <v>0.47708333333333336</v>
      </c>
    </row>
    <row r="43" spans="1:14" x14ac:dyDescent="0.35">
      <c r="A43" s="4" t="s">
        <v>18</v>
      </c>
      <c r="B43" s="7">
        <v>251</v>
      </c>
      <c r="C43" s="8">
        <v>0.5229166666666667</v>
      </c>
    </row>
    <row r="44" spans="1:14" x14ac:dyDescent="0.35">
      <c r="A44" s="4" t="s">
        <v>20</v>
      </c>
      <c r="B44" s="2">
        <v>480</v>
      </c>
      <c r="C44" s="8">
        <v>1</v>
      </c>
    </row>
    <row r="48" spans="1:14" ht="21.5" customHeight="1" x14ac:dyDescent="0.35">
      <c r="A48" s="11" t="s">
        <v>30</v>
      </c>
      <c r="B48" s="11" t="s">
        <v>32</v>
      </c>
      <c r="C48" s="12" t="s">
        <v>31</v>
      </c>
      <c r="D48" s="9"/>
    </row>
    <row r="49" spans="1:4" ht="21.5" customHeight="1" x14ac:dyDescent="0.35">
      <c r="A49" s="10" t="str">
        <f>A43</f>
        <v>Not Admitted</v>
      </c>
      <c r="B49" s="10">
        <f t="shared" ref="B49:C49" si="0">B43</f>
        <v>251</v>
      </c>
      <c r="C49" s="13">
        <f t="shared" si="0"/>
        <v>0.5229166666666667</v>
      </c>
      <c r="D49" s="10"/>
    </row>
    <row r="50" spans="1:4" ht="21.5" customHeight="1" x14ac:dyDescent="0.35">
      <c r="A50" s="10" t="str">
        <f>A42</f>
        <v>Admitted</v>
      </c>
      <c r="B50" s="10">
        <f t="shared" ref="B50:C50" si="1">B42</f>
        <v>229</v>
      </c>
      <c r="C50" s="13">
        <f t="shared" si="1"/>
        <v>0.47708333333333336</v>
      </c>
      <c r="D50" s="10"/>
    </row>
    <row r="55" spans="1:4" x14ac:dyDescent="0.35">
      <c r="A55" t="s">
        <v>34</v>
      </c>
    </row>
    <row r="56" spans="1:4" x14ac:dyDescent="0.35">
      <c r="A56" s="1" t="s">
        <v>19</v>
      </c>
      <c r="B56" t="s">
        <v>33</v>
      </c>
    </row>
    <row r="57" spans="1:4" x14ac:dyDescent="0.35">
      <c r="A57" s="4" t="s">
        <v>14</v>
      </c>
      <c r="B57" s="7">
        <v>63</v>
      </c>
    </row>
    <row r="58" spans="1:4" x14ac:dyDescent="0.35">
      <c r="A58" s="4" t="s">
        <v>9</v>
      </c>
      <c r="B58" s="7">
        <v>49</v>
      </c>
    </row>
    <row r="59" spans="1:4" x14ac:dyDescent="0.35">
      <c r="A59" s="4" t="s">
        <v>15</v>
      </c>
      <c r="B59" s="7">
        <v>57</v>
      </c>
    </row>
    <row r="60" spans="1:4" x14ac:dyDescent="0.35">
      <c r="A60" s="4" t="s">
        <v>16</v>
      </c>
      <c r="B60" s="7">
        <v>73</v>
      </c>
    </row>
    <row r="61" spans="1:4" x14ac:dyDescent="0.35">
      <c r="A61" s="4" t="s">
        <v>12</v>
      </c>
      <c r="B61" s="7">
        <v>63</v>
      </c>
    </row>
    <row r="62" spans="1:4" x14ac:dyDescent="0.35">
      <c r="A62" s="4" t="s">
        <v>13</v>
      </c>
      <c r="B62" s="7">
        <v>60</v>
      </c>
    </row>
    <row r="63" spans="1:4" x14ac:dyDescent="0.35">
      <c r="A63" s="4" t="s">
        <v>7</v>
      </c>
      <c r="B63" s="7">
        <v>57</v>
      </c>
    </row>
    <row r="64" spans="1:4" x14ac:dyDescent="0.35">
      <c r="A64" s="4" t="s">
        <v>11</v>
      </c>
      <c r="B64" s="7">
        <v>58</v>
      </c>
    </row>
    <row r="65" spans="1:2" x14ac:dyDescent="0.35">
      <c r="A65" s="4" t="s">
        <v>20</v>
      </c>
      <c r="B65" s="2">
        <v>480</v>
      </c>
    </row>
    <row r="67" spans="1:2" x14ac:dyDescent="0.35">
      <c r="A67" s="4" t="s">
        <v>36</v>
      </c>
    </row>
    <row r="68" spans="1:2" x14ac:dyDescent="0.35">
      <c r="A68" s="1" t="s">
        <v>19</v>
      </c>
      <c r="B68" t="s">
        <v>35</v>
      </c>
    </row>
    <row r="69" spans="1:2" x14ac:dyDescent="0.35">
      <c r="A69" s="4" t="s">
        <v>10</v>
      </c>
      <c r="B69" s="7">
        <v>267</v>
      </c>
    </row>
    <row r="70" spans="1:2" x14ac:dyDescent="0.35">
      <c r="A70" s="4" t="s">
        <v>8</v>
      </c>
      <c r="B70" s="7">
        <v>213</v>
      </c>
    </row>
    <row r="71" spans="1:2" x14ac:dyDescent="0.35">
      <c r="A71" s="4" t="s">
        <v>20</v>
      </c>
      <c r="B71" s="2">
        <v>480</v>
      </c>
    </row>
    <row r="74" spans="1:2" x14ac:dyDescent="0.35">
      <c r="A74" s="1" t="s">
        <v>19</v>
      </c>
      <c r="B74" t="s">
        <v>37</v>
      </c>
    </row>
    <row r="75" spans="1:2" x14ac:dyDescent="0.35">
      <c r="A75" s="4" t="s">
        <v>17</v>
      </c>
      <c r="B75" s="7">
        <v>261</v>
      </c>
    </row>
    <row r="76" spans="1:2" x14ac:dyDescent="0.35">
      <c r="A76" s="4" t="s">
        <v>4</v>
      </c>
      <c r="B76" s="7">
        <v>219</v>
      </c>
    </row>
    <row r="77" spans="1:2" x14ac:dyDescent="0.35">
      <c r="A77" s="4" t="s">
        <v>20</v>
      </c>
      <c r="B77" s="2">
        <v>480</v>
      </c>
    </row>
    <row r="80" spans="1:2" x14ac:dyDescent="0.35">
      <c r="A80" s="1" t="s">
        <v>19</v>
      </c>
      <c r="B80" t="s">
        <v>42</v>
      </c>
    </row>
    <row r="81" spans="1:2" x14ac:dyDescent="0.35">
      <c r="A81" s="4" t="s">
        <v>41</v>
      </c>
      <c r="B81" s="7">
        <v>6</v>
      </c>
    </row>
    <row r="82" spans="1:2" x14ac:dyDescent="0.35">
      <c r="A82" s="4" t="s">
        <v>26</v>
      </c>
      <c r="B82" s="7">
        <v>11</v>
      </c>
    </row>
    <row r="83" spans="1:2" x14ac:dyDescent="0.35">
      <c r="A83" s="4" t="s">
        <v>38</v>
      </c>
      <c r="B83" s="7">
        <v>12</v>
      </c>
    </row>
    <row r="84" spans="1:2" x14ac:dyDescent="0.35">
      <c r="A84" s="4" t="s">
        <v>39</v>
      </c>
      <c r="B84" s="7">
        <v>12</v>
      </c>
    </row>
    <row r="85" spans="1:2" x14ac:dyDescent="0.35">
      <c r="A85" s="4" t="s">
        <v>40</v>
      </c>
      <c r="B85" s="7">
        <v>20</v>
      </c>
    </row>
    <row r="86" spans="1:2" x14ac:dyDescent="0.35">
      <c r="A86" s="4" t="s">
        <v>25</v>
      </c>
      <c r="B86" s="7">
        <v>35</v>
      </c>
    </row>
    <row r="87" spans="1:2" x14ac:dyDescent="0.35">
      <c r="A87" s="4" t="s">
        <v>24</v>
      </c>
      <c r="B87" s="7">
        <v>93</v>
      </c>
    </row>
    <row r="88" spans="1:2" x14ac:dyDescent="0.35">
      <c r="A88" s="4" t="s">
        <v>5</v>
      </c>
      <c r="B88" s="7">
        <v>291</v>
      </c>
    </row>
    <row r="89" spans="1:2" x14ac:dyDescent="0.35">
      <c r="A89" s="4" t="s">
        <v>20</v>
      </c>
      <c r="B89" s="2">
        <v>480</v>
      </c>
    </row>
    <row r="92" spans="1:2" x14ac:dyDescent="0.35">
      <c r="A92" s="1" t="s">
        <v>19</v>
      </c>
    </row>
    <row r="93" spans="1:2" x14ac:dyDescent="0.35">
      <c r="A93" s="4" t="s">
        <v>21</v>
      </c>
    </row>
    <row r="94" spans="1:2" x14ac:dyDescent="0.35">
      <c r="A94" s="4" t="s">
        <v>20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94E6-737D-4354-9B0D-AC200492EF84}">
  <sheetPr>
    <pageSetUpPr autoPageBreaks="0"/>
  </sheetPr>
  <dimension ref="A1:AO79"/>
  <sheetViews>
    <sheetView tabSelected="1" zoomScale="97" zoomScaleNormal="87" workbookViewId="0">
      <selection activeCell="Q13" sqref="Q13"/>
    </sheetView>
  </sheetViews>
  <sheetFormatPr defaultRowHeight="14.5" x14ac:dyDescent="0.35"/>
  <sheetData>
    <row r="1" spans="1:41" x14ac:dyDescent="0.3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row>
    <row r="2" spans="1:41" x14ac:dyDescent="0.3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row>
    <row r="3" spans="1:41" x14ac:dyDescent="0.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row>
    <row r="4" spans="1:41"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row>
    <row r="7" spans="1:41" x14ac:dyDescent="0.3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row>
    <row r="8" spans="1:41" x14ac:dyDescent="0.3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row>
    <row r="9" spans="1:41" x14ac:dyDescent="0.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row>
    <row r="10" spans="1:41"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row>
    <row r="11" spans="1:41"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spans="1:41"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spans="1:41"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row>
    <row r="14" spans="1:41"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row>
    <row r="15" spans="1:41"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spans="1:41"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spans="1:4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spans="1:4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row>
    <row r="19" spans="1:4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row>
    <row r="20" spans="1:4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spans="1:4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spans="1:4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row>
    <row r="23" spans="1:4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row>
    <row r="24" spans="1:4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spans="1:4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spans="1:4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spans="1:4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row>
    <row r="28" spans="1:4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row>
    <row r="29" spans="1:4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spans="1:4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spans="1:4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row>
    <row r="32" spans="1:4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row>
    <row r="33" spans="1:4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spans="1:4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spans="1:4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spans="1:4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row>
    <row r="37" spans="1:4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row>
    <row r="38" spans="1:4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spans="1:4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spans="1:4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spans="1:4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spans="1:4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spans="1:4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spans="1:4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spans="1:4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spans="1:4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spans="1:4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spans="1:4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spans="1:4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spans="1:4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spans="1:4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spans="1:4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spans="1:4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spans="1:4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spans="1:4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spans="1:4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spans="1:4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spans="1:4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spans="1:4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spans="1:4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spans="1:4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spans="1:4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spans="1:4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spans="1:4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spans="1:4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spans="1:4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spans="1:4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spans="1:4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spans="1:4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spans="1:4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spans="1:4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spans="1:4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spans="1:4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spans="1:4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spans="1:4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spans="1:4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spans="1:4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spans="1:4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spans="1:4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99C6-1E9B-45E7-AA28-9E317918A909}">
  <dimension ref="A1:N16"/>
  <sheetViews>
    <sheetView zoomScale="128" workbookViewId="0"/>
  </sheetViews>
  <sheetFormatPr defaultRowHeight="14.5" x14ac:dyDescent="0.35"/>
  <sheetData>
    <row r="1" spans="1:14" x14ac:dyDescent="0.35">
      <c r="A1" s="5"/>
      <c r="B1" s="5"/>
      <c r="C1" s="5"/>
      <c r="D1" s="5"/>
      <c r="E1" s="5"/>
      <c r="F1" s="5"/>
      <c r="G1" s="5"/>
      <c r="H1" s="5"/>
      <c r="I1" s="5"/>
      <c r="J1" s="5"/>
      <c r="K1" s="5"/>
      <c r="L1" s="5"/>
      <c r="M1" s="5"/>
      <c r="N1" s="5"/>
    </row>
    <row r="2" spans="1:14" x14ac:dyDescent="0.35">
      <c r="A2" s="5"/>
      <c r="B2" s="5"/>
      <c r="C2" s="5"/>
      <c r="D2" s="5"/>
      <c r="E2" s="5"/>
      <c r="F2" s="5"/>
      <c r="G2" s="5"/>
      <c r="H2" s="5"/>
      <c r="I2" s="5"/>
      <c r="J2" s="5"/>
      <c r="K2" s="5"/>
      <c r="L2" s="5"/>
      <c r="M2" s="5"/>
      <c r="N2" s="5"/>
    </row>
    <row r="3" spans="1:14" x14ac:dyDescent="0.35">
      <c r="A3" s="5"/>
      <c r="B3" s="5"/>
      <c r="C3" s="5"/>
      <c r="D3" s="5"/>
      <c r="E3" s="5"/>
      <c r="F3" s="5"/>
      <c r="G3" s="5"/>
      <c r="H3" s="5"/>
      <c r="I3" s="5"/>
      <c r="J3" s="5"/>
      <c r="K3" s="5"/>
      <c r="L3" s="5"/>
      <c r="M3" s="5"/>
      <c r="N3" s="5"/>
    </row>
    <row r="4" spans="1:14" x14ac:dyDescent="0.35">
      <c r="A4" s="5"/>
      <c r="B4" s="5"/>
      <c r="C4" s="5"/>
      <c r="D4" s="5"/>
      <c r="E4" s="5"/>
      <c r="F4" s="5"/>
      <c r="G4" s="5"/>
      <c r="H4" s="5"/>
      <c r="I4" s="5"/>
      <c r="J4" s="5"/>
      <c r="K4" s="5"/>
      <c r="L4" s="5"/>
      <c r="M4" s="5"/>
      <c r="N4" s="5"/>
    </row>
    <row r="5" spans="1:14" x14ac:dyDescent="0.35">
      <c r="A5" s="5"/>
      <c r="B5" s="5"/>
      <c r="C5" s="5"/>
      <c r="D5" s="5"/>
      <c r="E5" s="5"/>
      <c r="F5" s="5"/>
      <c r="G5" s="5"/>
      <c r="H5" s="5"/>
      <c r="I5" s="5"/>
      <c r="J5" s="5"/>
      <c r="K5" s="5"/>
      <c r="L5" s="5"/>
      <c r="M5" s="5"/>
      <c r="N5" s="5"/>
    </row>
    <row r="6" spans="1:14" x14ac:dyDescent="0.35">
      <c r="A6" s="5"/>
      <c r="B6" s="5"/>
      <c r="C6" s="5"/>
      <c r="D6" s="5"/>
      <c r="E6" s="5"/>
      <c r="F6" s="5"/>
      <c r="G6" s="5"/>
      <c r="H6" s="5"/>
      <c r="I6" s="5"/>
      <c r="J6" s="5"/>
      <c r="K6" s="5"/>
      <c r="L6" s="5"/>
      <c r="M6" s="5"/>
      <c r="N6" s="5"/>
    </row>
    <row r="7" spans="1:14" x14ac:dyDescent="0.35">
      <c r="A7" s="5"/>
      <c r="B7" s="5"/>
      <c r="C7" s="5"/>
      <c r="D7" s="5"/>
      <c r="E7" s="5"/>
      <c r="F7" s="5"/>
      <c r="G7" s="5"/>
      <c r="H7" s="5"/>
      <c r="I7" s="5"/>
      <c r="J7" s="5"/>
      <c r="K7" s="5"/>
      <c r="L7" s="5"/>
      <c r="M7" s="5"/>
      <c r="N7" s="5"/>
    </row>
    <row r="8" spans="1:14" x14ac:dyDescent="0.35">
      <c r="A8" s="5"/>
      <c r="B8" s="5"/>
      <c r="C8" s="5"/>
      <c r="D8" s="5"/>
      <c r="E8" s="5"/>
      <c r="F8" s="5"/>
      <c r="G8" s="5"/>
      <c r="H8" s="5"/>
      <c r="I8" s="5"/>
      <c r="J8" s="5"/>
      <c r="K8" s="5"/>
      <c r="L8" s="5"/>
      <c r="M8" s="5"/>
      <c r="N8" s="5"/>
    </row>
    <row r="9" spans="1:14" x14ac:dyDescent="0.35">
      <c r="A9" s="5"/>
      <c r="B9" s="5"/>
      <c r="C9" s="5"/>
      <c r="D9" s="5"/>
      <c r="E9" s="5"/>
      <c r="F9" s="5"/>
      <c r="G9" s="5"/>
      <c r="H9" s="5"/>
      <c r="I9" s="5"/>
      <c r="J9" s="5"/>
      <c r="K9" s="5"/>
      <c r="L9" s="5"/>
      <c r="M9" s="5"/>
      <c r="N9" s="5"/>
    </row>
    <row r="10" spans="1:14" x14ac:dyDescent="0.35">
      <c r="A10" s="5"/>
      <c r="B10" s="5"/>
      <c r="C10" s="5"/>
      <c r="D10" s="5"/>
      <c r="E10" s="5"/>
      <c r="F10" s="5"/>
      <c r="G10" s="5"/>
      <c r="H10" s="5"/>
      <c r="I10" s="5"/>
      <c r="J10" s="5"/>
      <c r="K10" s="5"/>
      <c r="L10" s="5"/>
      <c r="M10" s="5"/>
      <c r="N10" s="5"/>
    </row>
    <row r="11" spans="1:14" x14ac:dyDescent="0.35">
      <c r="A11" s="5"/>
      <c r="B11" s="5"/>
      <c r="C11" s="5"/>
      <c r="D11" s="5"/>
      <c r="E11" s="5"/>
      <c r="F11" s="5"/>
      <c r="G11" s="5"/>
      <c r="H11" s="5"/>
      <c r="I11" s="5"/>
      <c r="J11" s="5"/>
      <c r="K11" s="5"/>
      <c r="L11" s="5"/>
      <c r="M11" s="5"/>
      <c r="N11" s="5"/>
    </row>
    <row r="12" spans="1:14" x14ac:dyDescent="0.35">
      <c r="A12" s="5"/>
      <c r="B12" s="5"/>
      <c r="C12" s="5"/>
      <c r="D12" s="5"/>
      <c r="E12" s="5"/>
      <c r="F12" s="5"/>
      <c r="G12" s="5"/>
      <c r="H12" s="5"/>
      <c r="I12" s="5"/>
      <c r="J12" s="5"/>
      <c r="K12" s="5"/>
      <c r="L12" s="5"/>
      <c r="M12" s="5"/>
      <c r="N12" s="5"/>
    </row>
    <row r="13" spans="1:14" x14ac:dyDescent="0.35">
      <c r="A13" s="5"/>
      <c r="B13" s="5"/>
      <c r="C13" s="5"/>
      <c r="D13" s="5"/>
      <c r="E13" s="5"/>
      <c r="F13" s="5"/>
      <c r="G13" s="5"/>
      <c r="H13" s="5"/>
      <c r="I13" s="5"/>
      <c r="J13" s="5"/>
      <c r="K13" s="5"/>
      <c r="L13" s="5"/>
      <c r="M13" s="5"/>
      <c r="N13" s="5"/>
    </row>
    <row r="14" spans="1:14" x14ac:dyDescent="0.35">
      <c r="A14" s="5"/>
      <c r="B14" s="5"/>
      <c r="C14" s="5"/>
      <c r="D14" s="5"/>
      <c r="E14" s="5"/>
      <c r="F14" s="5"/>
      <c r="G14" s="5"/>
      <c r="H14" s="5"/>
      <c r="I14" s="5"/>
      <c r="J14" s="5"/>
      <c r="K14" s="5"/>
      <c r="L14" s="5"/>
      <c r="M14" s="5"/>
      <c r="N14" s="5"/>
    </row>
    <row r="15" spans="1:14" x14ac:dyDescent="0.35">
      <c r="A15" s="5"/>
      <c r="B15" s="5"/>
      <c r="C15" s="5"/>
      <c r="D15" s="5"/>
      <c r="E15" s="5"/>
      <c r="F15" s="5"/>
      <c r="G15" s="5"/>
      <c r="H15" s="5"/>
      <c r="I15" s="5"/>
      <c r="J15" s="5"/>
      <c r="K15" s="5"/>
      <c r="L15" s="5"/>
      <c r="M15" s="5"/>
      <c r="N15" s="5"/>
    </row>
    <row r="16" spans="1:14" x14ac:dyDescent="0.35">
      <c r="A16" s="5"/>
      <c r="B16" s="5"/>
      <c r="C16" s="5"/>
      <c r="D16" s="5"/>
      <c r="E16" s="5"/>
      <c r="F16" s="5"/>
      <c r="G16" s="5"/>
      <c r="H16" s="5"/>
      <c r="I16" s="5"/>
      <c r="J16" s="5"/>
      <c r="K16" s="5"/>
      <c r="L16" s="5"/>
      <c r="M16" s="5"/>
      <c r="N16"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26371-C5C0-44E5-A84D-80FF6B757757}">
  <dimension ref="A1:O19"/>
  <sheetViews>
    <sheetView zoomScale="115" workbookViewId="0"/>
  </sheetViews>
  <sheetFormatPr defaultRowHeight="14.5" x14ac:dyDescent="0.35"/>
  <sheetData>
    <row r="1" spans="1:15" x14ac:dyDescent="0.35">
      <c r="A1" s="6"/>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row r="4" spans="1:15" x14ac:dyDescent="0.35">
      <c r="A4" s="6"/>
      <c r="B4" s="6"/>
      <c r="C4" s="6"/>
      <c r="D4" s="6"/>
      <c r="E4" s="6"/>
      <c r="F4" s="6"/>
      <c r="G4" s="6"/>
      <c r="H4" s="6"/>
      <c r="I4" s="6"/>
      <c r="J4" s="6"/>
      <c r="K4" s="6"/>
      <c r="L4" s="6"/>
      <c r="M4" s="6"/>
      <c r="N4" s="6"/>
      <c r="O4" s="6"/>
    </row>
    <row r="5" spans="1:15" x14ac:dyDescent="0.35">
      <c r="A5" s="6"/>
      <c r="B5" s="6"/>
      <c r="C5" s="6"/>
      <c r="D5" s="6"/>
      <c r="E5" s="6"/>
      <c r="F5" s="6"/>
      <c r="G5" s="6"/>
      <c r="H5" s="6"/>
      <c r="I5" s="6"/>
      <c r="J5" s="6"/>
      <c r="K5" s="6"/>
      <c r="L5" s="6"/>
      <c r="M5" s="6"/>
      <c r="N5" s="6"/>
      <c r="O5" s="6"/>
    </row>
    <row r="6" spans="1:15" x14ac:dyDescent="0.35">
      <c r="A6" s="6"/>
      <c r="B6" s="6"/>
      <c r="C6" s="6"/>
      <c r="D6" s="6"/>
      <c r="E6" s="6"/>
      <c r="F6" s="6"/>
      <c r="G6" s="6"/>
      <c r="H6" s="6"/>
      <c r="I6" s="6"/>
      <c r="J6" s="6"/>
      <c r="K6" s="6"/>
      <c r="L6" s="6"/>
      <c r="M6" s="6"/>
      <c r="N6" s="6"/>
      <c r="O6" s="6"/>
    </row>
    <row r="7" spans="1:15" x14ac:dyDescent="0.35">
      <c r="A7" s="6"/>
      <c r="B7" s="6"/>
      <c r="C7" s="6"/>
      <c r="D7" s="6"/>
      <c r="E7" s="6"/>
      <c r="F7" s="6"/>
      <c r="G7" s="6"/>
      <c r="H7" s="6"/>
      <c r="I7" s="6"/>
      <c r="J7" s="6"/>
      <c r="K7" s="6"/>
      <c r="L7" s="6"/>
      <c r="M7" s="6"/>
      <c r="N7" s="6"/>
      <c r="O7" s="6"/>
    </row>
    <row r="8" spans="1:15" x14ac:dyDescent="0.35">
      <c r="A8" s="6"/>
      <c r="B8" s="6"/>
      <c r="C8" s="6"/>
      <c r="D8" s="6"/>
      <c r="E8" s="6"/>
      <c r="F8" s="6"/>
      <c r="G8" s="6"/>
      <c r="H8" s="6"/>
      <c r="I8" s="6"/>
      <c r="J8" s="6"/>
      <c r="K8" s="6"/>
      <c r="L8" s="6"/>
      <c r="M8" s="6"/>
      <c r="N8" s="6"/>
      <c r="O8" s="6"/>
    </row>
    <row r="9" spans="1:15" x14ac:dyDescent="0.35">
      <c r="A9" s="6"/>
      <c r="B9" s="6"/>
      <c r="C9" s="6"/>
      <c r="D9" s="6"/>
      <c r="E9" s="6"/>
      <c r="F9" s="6"/>
      <c r="G9" s="6"/>
      <c r="H9" s="6"/>
      <c r="I9" s="6"/>
      <c r="J9" s="6"/>
      <c r="K9" s="6"/>
      <c r="L9" s="6"/>
      <c r="M9" s="6"/>
      <c r="N9" s="6"/>
      <c r="O9" s="6"/>
    </row>
    <row r="10" spans="1:15" x14ac:dyDescent="0.35">
      <c r="A10" s="6"/>
      <c r="B10" s="6"/>
      <c r="C10" s="6"/>
      <c r="D10" s="6"/>
      <c r="E10" s="6"/>
      <c r="F10" s="6"/>
      <c r="G10" s="6"/>
      <c r="H10" s="6"/>
      <c r="I10" s="6"/>
      <c r="J10" s="6"/>
      <c r="K10" s="6"/>
      <c r="L10" s="6"/>
      <c r="M10" s="6"/>
      <c r="N10" s="6"/>
      <c r="O10" s="6"/>
    </row>
    <row r="11" spans="1:15" x14ac:dyDescent="0.35">
      <c r="A11" s="6"/>
      <c r="B11" s="6"/>
      <c r="C11" s="6"/>
      <c r="D11" s="6"/>
      <c r="E11" s="6"/>
      <c r="F11" s="6"/>
      <c r="G11" s="6"/>
      <c r="H11" s="6"/>
      <c r="I11" s="6"/>
      <c r="J11" s="6"/>
      <c r="K11" s="6"/>
      <c r="L11" s="6"/>
      <c r="M11" s="6"/>
      <c r="N11" s="6"/>
      <c r="O11" s="6"/>
    </row>
    <row r="12" spans="1:15" x14ac:dyDescent="0.35">
      <c r="A12" s="6"/>
      <c r="B12" s="6"/>
      <c r="C12" s="6"/>
      <c r="D12" s="6"/>
      <c r="E12" s="6"/>
      <c r="F12" s="6"/>
      <c r="G12" s="6"/>
      <c r="H12" s="6"/>
      <c r="I12" s="6"/>
      <c r="J12" s="6"/>
      <c r="K12" s="6"/>
      <c r="L12" s="6"/>
      <c r="M12" s="6"/>
      <c r="N12" s="6"/>
      <c r="O12" s="6"/>
    </row>
    <row r="13" spans="1:15" x14ac:dyDescent="0.35">
      <c r="A13" s="6"/>
      <c r="B13" s="6"/>
      <c r="C13" s="6"/>
      <c r="D13" s="6"/>
      <c r="E13" s="6"/>
      <c r="F13" s="6"/>
      <c r="G13" s="6"/>
      <c r="H13" s="6"/>
      <c r="I13" s="6"/>
      <c r="J13" s="6"/>
      <c r="K13" s="6"/>
      <c r="L13" s="6"/>
      <c r="M13" s="6"/>
      <c r="N13" s="6"/>
      <c r="O13" s="6"/>
    </row>
    <row r="14" spans="1:15" x14ac:dyDescent="0.35">
      <c r="A14" s="6"/>
      <c r="B14" s="6"/>
      <c r="C14" s="6"/>
      <c r="D14" s="6"/>
      <c r="E14" s="6"/>
      <c r="F14" s="6"/>
      <c r="G14" s="6"/>
      <c r="H14" s="6"/>
      <c r="I14" s="6"/>
      <c r="J14" s="6"/>
      <c r="K14" s="6"/>
      <c r="L14" s="6"/>
      <c r="M14" s="6"/>
      <c r="N14" s="6"/>
      <c r="O14" s="6"/>
    </row>
    <row r="15" spans="1:15" x14ac:dyDescent="0.35">
      <c r="A15" s="6"/>
      <c r="B15" s="6"/>
      <c r="C15" s="6"/>
      <c r="D15" s="6"/>
      <c r="E15" s="6"/>
      <c r="F15" s="6"/>
      <c r="G15" s="6"/>
      <c r="H15" s="6"/>
      <c r="I15" s="6"/>
      <c r="J15" s="6"/>
      <c r="K15" s="6"/>
      <c r="L15" s="6"/>
      <c r="M15" s="6"/>
      <c r="N15" s="6"/>
      <c r="O15" s="6"/>
    </row>
    <row r="16" spans="1:15" x14ac:dyDescent="0.35">
      <c r="A16" s="6"/>
      <c r="B16" s="6"/>
      <c r="C16" s="6"/>
      <c r="D16" s="6"/>
      <c r="E16" s="6"/>
      <c r="F16" s="6"/>
      <c r="G16" s="6"/>
      <c r="H16" s="6"/>
      <c r="I16" s="6"/>
      <c r="J16" s="6"/>
      <c r="K16" s="6"/>
      <c r="L16" s="6"/>
      <c r="M16" s="6"/>
      <c r="N16" s="6"/>
      <c r="O16" s="6"/>
    </row>
    <row r="17" spans="1:15" x14ac:dyDescent="0.35">
      <c r="A17" s="6"/>
      <c r="B17" s="6"/>
      <c r="C17" s="6"/>
      <c r="D17" s="6"/>
      <c r="E17" s="6"/>
      <c r="F17" s="6"/>
      <c r="G17" s="6"/>
      <c r="H17" s="6"/>
      <c r="I17" s="6"/>
      <c r="J17" s="6"/>
      <c r="K17" s="6"/>
      <c r="L17" s="6"/>
      <c r="M17" s="6"/>
      <c r="N17" s="6"/>
      <c r="O17" s="6"/>
    </row>
    <row r="18" spans="1:15" x14ac:dyDescent="0.35">
      <c r="A18" s="6"/>
      <c r="B18" s="6"/>
      <c r="C18" s="6"/>
      <c r="D18" s="6"/>
      <c r="E18" s="6"/>
      <c r="F18" s="6"/>
      <c r="G18" s="6"/>
      <c r="H18" s="6"/>
      <c r="I18" s="6"/>
      <c r="J18" s="6"/>
      <c r="K18" s="6"/>
      <c r="L18" s="6"/>
      <c r="M18" s="6"/>
      <c r="N18" s="6"/>
      <c r="O18" s="6"/>
    </row>
    <row r="19" spans="1:15" x14ac:dyDescent="0.35">
      <c r="A19" s="6"/>
      <c r="B19" s="6"/>
      <c r="C19" s="6"/>
      <c r="D19" s="6"/>
      <c r="E19" s="6"/>
      <c r="F19" s="6"/>
      <c r="G19" s="6"/>
      <c r="H19" s="6"/>
      <c r="I19" s="6"/>
      <c r="J19" s="6"/>
      <c r="K19" s="6"/>
      <c r="L19" s="6"/>
      <c r="M19" s="6"/>
      <c r="N19" s="6"/>
      <c r="O1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00FC-66F6-4514-827B-712E09DA78DE}">
  <dimension ref="A1:O25"/>
  <sheetViews>
    <sheetView zoomScale="88" workbookViewId="0"/>
  </sheetViews>
  <sheetFormatPr defaultRowHeight="14.5" x14ac:dyDescent="0.35"/>
  <sheetData>
    <row r="1" spans="1:15" x14ac:dyDescent="0.35">
      <c r="A1" s="6"/>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row r="4" spans="1:15" x14ac:dyDescent="0.35">
      <c r="A4" s="6"/>
      <c r="B4" s="6"/>
      <c r="C4" s="6"/>
      <c r="D4" s="6"/>
      <c r="E4" s="6"/>
      <c r="F4" s="6"/>
      <c r="G4" s="6"/>
      <c r="H4" s="6"/>
      <c r="I4" s="6"/>
      <c r="J4" s="6"/>
      <c r="K4" s="6"/>
      <c r="L4" s="6"/>
      <c r="M4" s="6"/>
      <c r="N4" s="6"/>
      <c r="O4" s="6"/>
    </row>
    <row r="5" spans="1:15" x14ac:dyDescent="0.35">
      <c r="A5" s="6"/>
      <c r="B5" s="6"/>
      <c r="C5" s="6"/>
      <c r="D5" s="6"/>
      <c r="E5" s="6"/>
      <c r="F5" s="6"/>
      <c r="G5" s="6"/>
      <c r="H5" s="6"/>
      <c r="I5" s="6"/>
      <c r="J5" s="6"/>
      <c r="K5" s="6"/>
      <c r="L5" s="6"/>
      <c r="M5" s="6"/>
      <c r="N5" s="6"/>
      <c r="O5" s="6"/>
    </row>
    <row r="6" spans="1:15" x14ac:dyDescent="0.35">
      <c r="A6" s="6"/>
      <c r="B6" s="6"/>
      <c r="C6" s="6"/>
      <c r="D6" s="6"/>
      <c r="E6" s="6"/>
      <c r="F6" s="6"/>
      <c r="G6" s="6"/>
      <c r="H6" s="6"/>
      <c r="I6" s="6"/>
      <c r="J6" s="6"/>
      <c r="K6" s="6"/>
      <c r="L6" s="6"/>
      <c r="M6" s="6"/>
      <c r="N6" s="6"/>
      <c r="O6" s="6"/>
    </row>
    <row r="7" spans="1:15" x14ac:dyDescent="0.35">
      <c r="A7" s="6"/>
      <c r="B7" s="6"/>
      <c r="C7" s="6"/>
      <c r="D7" s="6"/>
      <c r="E7" s="6"/>
      <c r="F7" s="6"/>
      <c r="G7" s="6"/>
      <c r="H7" s="6"/>
      <c r="I7" s="6"/>
      <c r="J7" s="6"/>
      <c r="K7" s="6"/>
      <c r="L7" s="6"/>
      <c r="M7" s="6"/>
      <c r="N7" s="6"/>
      <c r="O7" s="6"/>
    </row>
    <row r="8" spans="1:15" x14ac:dyDescent="0.35">
      <c r="A8" s="6"/>
      <c r="B8" s="6"/>
      <c r="C8" s="6"/>
      <c r="D8" s="6"/>
      <c r="E8" s="6"/>
      <c r="F8" s="6"/>
      <c r="G8" s="6"/>
      <c r="H8" s="6"/>
      <c r="I8" s="6"/>
      <c r="J8" s="6"/>
      <c r="K8" s="6"/>
      <c r="L8" s="6"/>
      <c r="M8" s="6"/>
      <c r="N8" s="6"/>
      <c r="O8" s="6"/>
    </row>
    <row r="9" spans="1:15" x14ac:dyDescent="0.35">
      <c r="A9" s="6"/>
      <c r="B9" s="6"/>
      <c r="C9" s="6"/>
      <c r="D9" s="6"/>
      <c r="E9" s="6"/>
      <c r="F9" s="6"/>
      <c r="G9" s="6"/>
      <c r="H9" s="6"/>
      <c r="I9" s="6"/>
      <c r="J9" s="6"/>
      <c r="K9" s="6"/>
      <c r="L9" s="6"/>
      <c r="M9" s="6"/>
      <c r="N9" s="6"/>
      <c r="O9" s="6"/>
    </row>
    <row r="10" spans="1:15" x14ac:dyDescent="0.35">
      <c r="A10" s="6"/>
      <c r="B10" s="6"/>
      <c r="C10" s="6"/>
      <c r="D10" s="6"/>
      <c r="E10" s="6"/>
      <c r="F10" s="6"/>
      <c r="G10" s="6"/>
      <c r="H10" s="6"/>
      <c r="I10" s="6"/>
      <c r="J10" s="6"/>
      <c r="K10" s="6"/>
      <c r="L10" s="6"/>
      <c r="M10" s="6"/>
      <c r="N10" s="6"/>
      <c r="O10" s="6"/>
    </row>
    <row r="11" spans="1:15" x14ac:dyDescent="0.35">
      <c r="A11" s="6"/>
      <c r="B11" s="6"/>
      <c r="C11" s="6"/>
      <c r="D11" s="6"/>
      <c r="E11" s="6"/>
      <c r="F11" s="6"/>
      <c r="G11" s="6"/>
      <c r="H11" s="6"/>
      <c r="I11" s="6"/>
      <c r="J11" s="6"/>
      <c r="K11" s="6"/>
      <c r="L11" s="6"/>
      <c r="M11" s="6"/>
      <c r="N11" s="6"/>
      <c r="O11" s="6"/>
    </row>
    <row r="12" spans="1:15" x14ac:dyDescent="0.35">
      <c r="A12" s="6"/>
      <c r="B12" s="6"/>
      <c r="C12" s="6"/>
      <c r="D12" s="6"/>
      <c r="E12" s="6"/>
      <c r="F12" s="6"/>
      <c r="G12" s="6"/>
      <c r="H12" s="6"/>
      <c r="I12" s="6"/>
      <c r="J12" s="6"/>
      <c r="K12" s="6"/>
      <c r="L12" s="6"/>
      <c r="M12" s="6"/>
      <c r="N12" s="6"/>
      <c r="O12" s="6"/>
    </row>
    <row r="13" spans="1:15" x14ac:dyDescent="0.35">
      <c r="A13" s="6"/>
      <c r="B13" s="6"/>
      <c r="C13" s="6"/>
      <c r="D13" s="6"/>
      <c r="E13" s="6"/>
      <c r="F13" s="6"/>
      <c r="G13" s="6"/>
      <c r="H13" s="6"/>
      <c r="I13" s="6"/>
      <c r="J13" s="6"/>
      <c r="K13" s="6"/>
      <c r="L13" s="6"/>
      <c r="M13" s="6"/>
      <c r="N13" s="6"/>
      <c r="O13" s="6"/>
    </row>
    <row r="14" spans="1:15" x14ac:dyDescent="0.35">
      <c r="A14" s="6"/>
      <c r="B14" s="6"/>
      <c r="C14" s="6"/>
      <c r="D14" s="6"/>
      <c r="E14" s="6"/>
      <c r="F14" s="6"/>
      <c r="G14" s="6"/>
      <c r="H14" s="6"/>
      <c r="I14" s="6"/>
      <c r="J14" s="6"/>
      <c r="K14" s="6"/>
      <c r="L14" s="6"/>
      <c r="M14" s="6"/>
      <c r="N14" s="6"/>
      <c r="O14" s="6"/>
    </row>
    <row r="15" spans="1:15" x14ac:dyDescent="0.35">
      <c r="A15" s="6"/>
      <c r="B15" s="6"/>
      <c r="C15" s="6"/>
      <c r="D15" s="6"/>
      <c r="E15" s="6"/>
      <c r="F15" s="6"/>
      <c r="G15" s="6"/>
      <c r="H15" s="6"/>
      <c r="I15" s="6"/>
      <c r="J15" s="6"/>
      <c r="K15" s="6"/>
      <c r="L15" s="6"/>
      <c r="M15" s="6"/>
      <c r="N15" s="6"/>
      <c r="O15" s="6"/>
    </row>
    <row r="16" spans="1:15" x14ac:dyDescent="0.35">
      <c r="A16" s="6"/>
      <c r="B16" s="6"/>
      <c r="C16" s="6"/>
      <c r="D16" s="6"/>
      <c r="E16" s="6"/>
      <c r="F16" s="6"/>
      <c r="G16" s="6"/>
      <c r="H16" s="6"/>
      <c r="I16" s="6"/>
      <c r="J16" s="6"/>
      <c r="K16" s="6"/>
      <c r="L16" s="6"/>
      <c r="M16" s="6"/>
      <c r="N16" s="6"/>
      <c r="O16" s="6"/>
    </row>
    <row r="17" spans="1:15" x14ac:dyDescent="0.35">
      <c r="A17" s="6"/>
      <c r="B17" s="6"/>
      <c r="C17" s="6"/>
      <c r="D17" s="6"/>
      <c r="E17" s="6"/>
      <c r="F17" s="6"/>
      <c r="G17" s="6"/>
      <c r="H17" s="6"/>
      <c r="I17" s="6"/>
      <c r="J17" s="6"/>
      <c r="K17" s="6"/>
      <c r="L17" s="6"/>
      <c r="M17" s="6"/>
      <c r="N17" s="6"/>
      <c r="O17" s="6"/>
    </row>
    <row r="18" spans="1:15" x14ac:dyDescent="0.35">
      <c r="A18" s="6"/>
      <c r="B18" s="6"/>
      <c r="C18" s="6"/>
      <c r="D18" s="6"/>
      <c r="E18" s="6"/>
      <c r="F18" s="6"/>
      <c r="G18" s="6"/>
      <c r="H18" s="6"/>
      <c r="I18" s="6"/>
      <c r="J18" s="6"/>
      <c r="K18" s="6"/>
      <c r="L18" s="6"/>
      <c r="M18" s="6"/>
      <c r="N18" s="6"/>
      <c r="O18" s="6"/>
    </row>
    <row r="19" spans="1:15" x14ac:dyDescent="0.35">
      <c r="A19" s="6"/>
      <c r="B19" s="6"/>
      <c r="C19" s="6"/>
      <c r="D19" s="6"/>
      <c r="E19" s="6"/>
      <c r="F19" s="6"/>
      <c r="G19" s="6"/>
      <c r="H19" s="6"/>
      <c r="I19" s="6"/>
      <c r="J19" s="6"/>
      <c r="K19" s="6"/>
      <c r="L19" s="6"/>
      <c r="M19" s="6"/>
      <c r="N19" s="6"/>
      <c r="O19" s="6"/>
    </row>
    <row r="20" spans="1:15" x14ac:dyDescent="0.35">
      <c r="A20" s="6"/>
      <c r="B20" s="6"/>
      <c r="C20" s="6"/>
      <c r="D20" s="6"/>
      <c r="E20" s="6"/>
      <c r="F20" s="6"/>
      <c r="G20" s="6"/>
      <c r="H20" s="6"/>
      <c r="I20" s="6"/>
      <c r="J20" s="6"/>
      <c r="K20" s="6"/>
      <c r="L20" s="6"/>
      <c r="M20" s="6"/>
      <c r="N20" s="6"/>
      <c r="O20" s="6"/>
    </row>
    <row r="21" spans="1:15" x14ac:dyDescent="0.35">
      <c r="A21" s="6"/>
      <c r="B21" s="6"/>
      <c r="C21" s="6"/>
      <c r="D21" s="6"/>
      <c r="E21" s="6"/>
      <c r="F21" s="6"/>
      <c r="G21" s="6"/>
      <c r="H21" s="6"/>
      <c r="I21" s="6"/>
      <c r="J21" s="6"/>
      <c r="K21" s="6"/>
      <c r="L21" s="6"/>
      <c r="M21" s="6"/>
      <c r="N21" s="6"/>
      <c r="O21" s="6"/>
    </row>
    <row r="22" spans="1:15" x14ac:dyDescent="0.35">
      <c r="A22" s="6"/>
      <c r="B22" s="6"/>
      <c r="C22" s="6"/>
      <c r="D22" s="6"/>
      <c r="E22" s="6"/>
      <c r="F22" s="6"/>
      <c r="G22" s="6"/>
      <c r="H22" s="6"/>
      <c r="I22" s="6"/>
      <c r="J22" s="6"/>
      <c r="K22" s="6"/>
      <c r="L22" s="6"/>
      <c r="M22" s="6"/>
      <c r="N22" s="6"/>
      <c r="O22" s="6"/>
    </row>
    <row r="23" spans="1:15" x14ac:dyDescent="0.35">
      <c r="A23" s="6"/>
      <c r="B23" s="6"/>
      <c r="C23" s="6"/>
      <c r="D23" s="6"/>
      <c r="E23" s="6"/>
      <c r="F23" s="6"/>
      <c r="G23" s="6"/>
      <c r="H23" s="6"/>
      <c r="I23" s="6"/>
      <c r="J23" s="6"/>
      <c r="K23" s="6"/>
      <c r="L23" s="6"/>
      <c r="M23" s="6"/>
      <c r="N23" s="6"/>
      <c r="O23" s="6"/>
    </row>
    <row r="24" spans="1:15" x14ac:dyDescent="0.35">
      <c r="A24" s="6"/>
      <c r="B24" s="6"/>
      <c r="C24" s="6"/>
      <c r="D24" s="6"/>
      <c r="E24" s="6"/>
      <c r="F24" s="6"/>
      <c r="G24" s="6"/>
      <c r="H24" s="6"/>
      <c r="I24" s="6"/>
      <c r="J24" s="6"/>
      <c r="K24" s="6"/>
      <c r="L24" s="6"/>
      <c r="M24" s="6"/>
      <c r="N24" s="6"/>
      <c r="O24" s="6"/>
    </row>
    <row r="25" spans="1:15" x14ac:dyDescent="0.35">
      <c r="A25" s="6"/>
      <c r="B25" s="6"/>
      <c r="C25" s="6"/>
      <c r="D25" s="6"/>
      <c r="E25" s="6"/>
      <c r="F25" s="6"/>
      <c r="G25" s="6"/>
      <c r="H25" s="6"/>
      <c r="I25" s="6"/>
      <c r="J25" s="6"/>
      <c r="K25" s="6"/>
      <c r="L25" s="6"/>
      <c r="M25" s="6"/>
      <c r="N25" s="6"/>
      <c r="O25"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1FE5FD7D-B444-4815-92EA-3577A9F96963}">
  <ds:schemaRefs/>
</ds:datastoreItem>
</file>

<file path=customXml/itemProps2.xml><?xml version="1.0" encoding="utf-8"?>
<ds:datastoreItem xmlns:ds="http://schemas.openxmlformats.org/officeDocument/2006/customXml" ds:itemID="{50DF0C01-EDF2-469A-A5F7-73083944809D}">
  <ds:schemaRefs/>
</ds:datastoreItem>
</file>

<file path=customXml/itemProps3.xml><?xml version="1.0" encoding="utf-8"?>
<ds:datastoreItem xmlns:ds="http://schemas.openxmlformats.org/officeDocument/2006/customXml" ds:itemID="{D5C96C9C-5937-4475-A0E0-A5143269C09E}">
  <ds:schemaRefs/>
</ds:datastoreItem>
</file>

<file path=customXml/itemProps4.xml><?xml version="1.0" encoding="utf-8"?>
<ds:datastoreItem xmlns:ds="http://schemas.openxmlformats.org/officeDocument/2006/customXml" ds:itemID="{4FF9975D-B3F3-4AD1-B90A-8C88648F9138}">
  <ds:schemaRefs/>
</ds:datastoreItem>
</file>

<file path=customXml/itemProps5.xml><?xml version="1.0" encoding="utf-8"?>
<ds:datastoreItem xmlns:ds="http://schemas.openxmlformats.org/officeDocument/2006/customXml" ds:itemID="{9AF23F95-EC1D-4229-B247-7F0C1F4018FB}">
  <ds:schemaRefs/>
</ds:datastoreItem>
</file>

<file path=customXml/itemProps6.xml><?xml version="1.0" encoding="utf-8"?>
<ds:datastoreItem xmlns:ds="http://schemas.openxmlformats.org/officeDocument/2006/customXml" ds:itemID="{1DED2739-2695-43EE-8B36-01F599F487FE}">
  <ds:schemaRefs/>
</ds:datastoreItem>
</file>

<file path=customXml/itemProps7.xml><?xml version="1.0" encoding="utf-8"?>
<ds:datastoreItem xmlns:ds="http://schemas.openxmlformats.org/officeDocument/2006/customXml" ds:itemID="{0CF1CC86-6432-4DED-9583-9705753E0D3B}">
  <ds:schemaRefs>
    <ds:schemaRef ds:uri="http://schemas.microsoft.com/DataMashup"/>
  </ds:schemaRefs>
</ds:datastoreItem>
</file>

<file path=customXml/itemProps8.xml><?xml version="1.0" encoding="utf-8"?>
<ds:datastoreItem xmlns:ds="http://schemas.openxmlformats.org/officeDocument/2006/customXml" ds:itemID="{260BF8CE-49A5-46A6-99FE-6FB2B34DCCBF}">
  <ds:schemaRefs/>
</ds:datastoreItem>
</file>

<file path=customXml/itemProps9.xml><?xml version="1.0" encoding="utf-8"?>
<ds:datastoreItem xmlns:ds="http://schemas.openxmlformats.org/officeDocument/2006/customXml" ds:itemID="{E43B11F4-7B52-4C09-A072-7F297EB87C85}">
  <ds:schemaRefs/>
</ds:datastoreItem>
</file>

<file path=customXml/itemProps10.xml><?xml version="1.0" encoding="utf-8"?>
<ds:datastoreItem xmlns:ds="http://schemas.openxmlformats.org/officeDocument/2006/customXml" ds:itemID="{18C60531-9EEB-4956-A0E6-4F4C8F6F0060}">
  <ds:schemaRefs/>
</ds:datastoreItem>
</file>

<file path=customXml/itemProps11.xml><?xml version="1.0" encoding="utf-8"?>
<ds:datastoreItem xmlns:ds="http://schemas.openxmlformats.org/officeDocument/2006/customXml" ds:itemID="{126F241C-6058-454C-9CFD-A4EB2302CEEB}">
  <ds:schemaRefs/>
</ds:datastoreItem>
</file>

<file path=customXml/itemProps12.xml><?xml version="1.0" encoding="utf-8"?>
<ds:datastoreItem xmlns:ds="http://schemas.openxmlformats.org/officeDocument/2006/customXml" ds:itemID="{E892B58D-B5BA-471E-AB90-849154A5AD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Avg wait time of patient</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Dongre</dc:creator>
  <cp:lastModifiedBy>Nikhil Dongre</cp:lastModifiedBy>
  <dcterms:created xsi:type="dcterms:W3CDTF">2026-05-15T10:33:31Z</dcterms:created>
  <dcterms:modified xsi:type="dcterms:W3CDTF">2026-05-18T10:29:24Z</dcterms:modified>
</cp:coreProperties>
</file>